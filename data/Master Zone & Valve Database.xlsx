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5"/>
    <sheet state="visible" name="Valve Sheet" sheetId="2" r:id="rId6"/>
    <sheet state="visible" name="Zone Sheet" sheetId="3" r:id="rId7"/>
  </sheets>
  <definedNames/>
  <calcPr/>
</workbook>
</file>

<file path=xl/sharedStrings.xml><?xml version="1.0" encoding="utf-8"?>
<sst xmlns="http://schemas.openxmlformats.org/spreadsheetml/2006/main" count="2516" uniqueCount="401">
  <si>
    <t>Go to CCCP - Installation</t>
  </si>
  <si>
    <t>Zone &amp; Lot Lookup</t>
  </si>
  <si>
    <t>Valve Lookup</t>
  </si>
  <si>
    <t>enter zone:</t>
  </si>
  <si>
    <t>(Z0 - Z20)</t>
  </si>
  <si>
    <t>valve number:</t>
  </si>
  <si>
    <t>V8</t>
  </si>
  <si>
    <t>enter Lot #:</t>
  </si>
  <si>
    <t>Location:</t>
  </si>
  <si>
    <t>Zone</t>
  </si>
  <si>
    <t>Lot</t>
  </si>
  <si>
    <t>Valve</t>
  </si>
  <si>
    <t>Notes:</t>
  </si>
  <si>
    <t>Function:</t>
  </si>
  <si>
    <t>Zone:</t>
  </si>
  <si>
    <t>Lots:</t>
  </si>
  <si>
    <t>Location</t>
  </si>
  <si>
    <t>Location Notes</t>
  </si>
  <si>
    <t>Function</t>
  </si>
  <si>
    <t>V1</t>
  </si>
  <si>
    <t>23 feet from pedestal at berm by lot 207</t>
  </si>
  <si>
    <t>Residential Lot Shutoff</t>
  </si>
  <si>
    <t>V2</t>
  </si>
  <si>
    <t>6 feet west of hydrant</t>
  </si>
  <si>
    <t>V3</t>
  </si>
  <si>
    <t>2 1/2 feet behind lot sign</t>
  </si>
  <si>
    <t>V4</t>
  </si>
  <si>
    <t>5 1/2 feet from left rear corner of shed</t>
  </si>
  <si>
    <t>V5</t>
  </si>
  <si>
    <t>7 feet from left hand front corner of shed</t>
  </si>
  <si>
    <t>V6</t>
  </si>
  <si>
    <t>at base of berm 25 feet from drain</t>
  </si>
  <si>
    <t>Infrastructure / special function valve</t>
  </si>
  <si>
    <t>V7</t>
  </si>
  <si>
    <t>5 feet directly behind fire hydrant</t>
  </si>
  <si>
    <t>10 feet from left front corner of shed</t>
  </si>
  <si>
    <t>V9</t>
  </si>
  <si>
    <t>9 feet from transformer</t>
  </si>
  <si>
    <t>V10</t>
  </si>
  <si>
    <t>20 1/2 feet from front left hand corner of shed</t>
  </si>
  <si>
    <t>V11</t>
  </si>
  <si>
    <t>Pond 2</t>
  </si>
  <si>
    <t>west side, lowest corner, 10' in front of road sign</t>
  </si>
  <si>
    <t>V12</t>
  </si>
  <si>
    <t>southerly of pair, at upper edge lot</t>
  </si>
  <si>
    <t>V13</t>
  </si>
  <si>
    <t>north</t>
  </si>
  <si>
    <t>V14</t>
  </si>
  <si>
    <t>8 feet from front left hand corner of shed</t>
  </si>
  <si>
    <t>V15</t>
  </si>
  <si>
    <t>13 1/2 feet west of lot sign</t>
  </si>
  <si>
    <t>V16</t>
  </si>
  <si>
    <t>7 feet back from front left hand corner of shed</t>
  </si>
  <si>
    <t>V17</t>
  </si>
  <si>
    <t>near lot sign, westerly of pair</t>
  </si>
  <si>
    <t>V18</t>
  </si>
  <si>
    <t>near lot sign, easterly of pair</t>
  </si>
  <si>
    <t>V19</t>
  </si>
  <si>
    <t>between lots 613 &amp; 614 at top edge of berm</t>
  </si>
  <si>
    <t>V20</t>
  </si>
  <si>
    <t>19' from rear right hand corner of shed</t>
  </si>
  <si>
    <t>V21</t>
  </si>
  <si>
    <t>11 feet south of phone box, for sprinkler system</t>
  </si>
  <si>
    <t>V22</t>
  </si>
  <si>
    <t>3 feet west of transformer</t>
  </si>
  <si>
    <t>V23</t>
  </si>
  <si>
    <t>clubhouse</t>
  </si>
  <si>
    <t>near trash bins &amp; fire hydrant</t>
  </si>
  <si>
    <t>V24</t>
  </si>
  <si>
    <t>V25</t>
  </si>
  <si>
    <t>43' from easern railing, 45'4" from western railing</t>
  </si>
  <si>
    <t>V26</t>
  </si>
  <si>
    <t>4 1/2 east of transformer</t>
  </si>
  <si>
    <t>V27</t>
  </si>
  <si>
    <t>7 1/2 feet east of pedestal</t>
  </si>
  <si>
    <t>V28</t>
  </si>
  <si>
    <t>east side, south of path</t>
  </si>
  <si>
    <t>V29</t>
  </si>
  <si>
    <t>Tank 4</t>
  </si>
  <si>
    <t>at foot of hill near lot 614</t>
  </si>
  <si>
    <t>V30</t>
  </si>
  <si>
    <t>50' west near fence</t>
  </si>
  <si>
    <t>V31</t>
  </si>
  <si>
    <t>16 feet north of pedestal</t>
  </si>
  <si>
    <t>V32</t>
  </si>
  <si>
    <t>3 Tank Hill</t>
  </si>
  <si>
    <t>on edge of berm across from pump house, southerly</t>
  </si>
  <si>
    <t>Park Shutoff</t>
  </si>
  <si>
    <t>V33</t>
  </si>
  <si>
    <t>on edge of berm across from pump house</t>
  </si>
  <si>
    <t>V34</t>
  </si>
  <si>
    <t>by hydrant</t>
  </si>
  <si>
    <t>between valves 23 &amp; 24 by clubhouse hydrant</t>
  </si>
  <si>
    <t>Lot #</t>
  </si>
  <si>
    <t>Z0</t>
  </si>
  <si>
    <t>Club House</t>
  </si>
  <si>
    <t>Z1</t>
  </si>
  <si>
    <t>Ranch House</t>
  </si>
  <si>
    <t>Boondock</t>
  </si>
  <si>
    <t>003</t>
  </si>
  <si>
    <t>004</t>
  </si>
  <si>
    <t>Z2</t>
  </si>
  <si>
    <t>101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</si>
  <si>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</si>
  <si>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</si>
  <si>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</si>
  <si>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</si>
  <si>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</si>
  <si>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</si>
  <si>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</si>
  <si>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</si>
  <si>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</si>
  <si>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113</t>
  </si>
  <si>
    <t>115</t>
  </si>
  <si>
    <t>117</t>
  </si>
  <si>
    <t>Z3</t>
  </si>
  <si>
    <t>119</t>
  </si>
  <si>
    <t>121</t>
  </si>
  <si>
    <t>123</t>
  </si>
  <si>
    <t>Z4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</si>
  <si>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</si>
  <si>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</si>
  <si>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</si>
  <si>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</si>
  <si>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</si>
  <si>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</si>
  <si>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</si>
  <si>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</si>
  <si>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</si>
  <si>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</si>
  <si>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</si>
  <si>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</si>
  <si>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</si>
  <si>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</si>
  <si>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</si>
  <si>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</si>
  <si>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</si>
  <si>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</si>
  <si>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</si>
  <si>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</si>
  <si>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</si>
  <si>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</si>
  <si>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</si>
  <si>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</si>
  <si>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</si>
  <si>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</si>
  <si>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</si>
  <si>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</si>
  <si>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</si>
  <si>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</si>
  <si>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</si>
  <si>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Z5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</si>
  <si>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</si>
  <si>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</si>
  <si>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</si>
  <si>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</si>
  <si>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</si>
  <si>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</si>
  <si>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</si>
  <si>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</si>
  <si>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</si>
  <si>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</si>
  <si>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</si>
  <si>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</si>
  <si>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314</t>
  </si>
  <si>
    <t>Z6</t>
  </si>
  <si>
    <t>316</t>
  </si>
  <si>
    <t>317</t>
  </si>
  <si>
    <t>318</t>
  </si>
  <si>
    <t>319</t>
  </si>
  <si>
    <t>320</t>
  </si>
  <si>
    <t>321</t>
  </si>
  <si>
    <t>322</t>
  </si>
  <si>
    <t>323</t>
  </si>
  <si>
    <t>Z7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</si>
  <si>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</si>
  <si>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</si>
  <si>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</si>
  <si>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</si>
  <si>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</si>
  <si>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</si>
  <si>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</si>
  <si>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</si>
  <si>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</si>
  <si>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</si>
  <si>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</si>
  <si>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</si>
  <si>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</si>
  <si>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</si>
  <si>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</si>
  <si>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</si>
  <si>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418</t>
  </si>
  <si>
    <t>420</t>
  </si>
  <si>
    <t>422</t>
  </si>
  <si>
    <t>424</t>
  </si>
  <si>
    <t>426</t>
  </si>
  <si>
    <t>Z8</t>
  </si>
  <si>
    <t>417</t>
  </si>
  <si>
    <t>419</t>
  </si>
  <si>
    <t>421</t>
  </si>
  <si>
    <t>428</t>
  </si>
  <si>
    <t>429</t>
  </si>
  <si>
    <t>430</t>
  </si>
  <si>
    <t>431</t>
  </si>
  <si>
    <t>432</t>
  </si>
  <si>
    <t>434</t>
  </si>
  <si>
    <t>Z9</t>
  </si>
  <si>
    <t>501</t>
  </si>
  <si>
    <t>503</t>
  </si>
  <si>
    <t>505</t>
  </si>
  <si>
    <t>507</t>
  </si>
  <si>
    <t>509</t>
  </si>
  <si>
    <t>511</t>
  </si>
  <si>
    <t>513</t>
  </si>
  <si>
    <t>515</t>
  </si>
  <si>
    <t>517</t>
  </si>
  <si>
    <t>518</t>
  </si>
  <si>
    <t>519</t>
  </si>
  <si>
    <t>520</t>
  </si>
  <si>
    <t>521</t>
  </si>
  <si>
    <t>Z10</t>
  </si>
  <si>
    <t>502</t>
  </si>
  <si>
    <t>504</t>
  </si>
  <si>
    <t>506</t>
  </si>
  <si>
    <t>508</t>
  </si>
  <si>
    <t>510</t>
  </si>
  <si>
    <t>512</t>
  </si>
  <si>
    <t>514</t>
  </si>
  <si>
    <t>516</t>
  </si>
  <si>
    <t>Z11</t>
  </si>
  <si>
    <t>522</t>
  </si>
  <si>
    <t>523</t>
  </si>
  <si>
    <t>524</t>
  </si>
  <si>
    <t>525</t>
  </si>
  <si>
    <t>526</t>
  </si>
  <si>
    <t>527</t>
  </si>
  <si>
    <t>528</t>
  </si>
  <si>
    <t>529</t>
  </si>
  <si>
    <t>601</t>
  </si>
  <si>
    <t>602</t>
  </si>
  <si>
    <t>603</t>
  </si>
  <si>
    <t>604</t>
  </si>
  <si>
    <t>605</t>
  </si>
  <si>
    <t>Z12</t>
  </si>
  <si>
    <t>530</t>
  </si>
  <si>
    <t>?</t>
  </si>
  <si>
    <t>531</t>
  </si>
  <si>
    <t>532</t>
  </si>
  <si>
    <t>Z13</t>
  </si>
  <si>
    <t>606</t>
  </si>
  <si>
    <t>607</t>
  </si>
  <si>
    <t>608</t>
  </si>
  <si>
    <t>609</t>
  </si>
  <si>
    <t>610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</si>
  <si>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</si>
  <si>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</si>
  <si>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</si>
  <si>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</si>
  <si>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</si>
  <si>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</si>
  <si>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</si>
  <si>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</si>
  <si>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</si>
  <si>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</si>
  <si>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</si>
  <si>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</si>
  <si>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</si>
  <si>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</si>
  <si>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</si>
  <si>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</si>
  <si>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</si>
  <si>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</si>
  <si>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</si>
  <si>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</si>
  <si>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</si>
  <si>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</si>
  <si>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</si>
  <si>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</si>
  <si>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</si>
  <si>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</si>
  <si>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664</t>
  </si>
  <si>
    <t>665</t>
  </si>
  <si>
    <t>666</t>
  </si>
  <si>
    <t>667</t>
  </si>
  <si>
    <t>668</t>
  </si>
  <si>
    <t>670</t>
  </si>
  <si>
    <t>672</t>
  </si>
  <si>
    <t>674</t>
  </si>
  <si>
    <t>676</t>
  </si>
  <si>
    <t>Z14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</si>
  <si>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</si>
  <si>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</si>
  <si>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</si>
  <si>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</si>
  <si>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</si>
  <si>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</si>
  <si>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</si>
  <si>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</si>
  <si>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</si>
  <si>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</si>
  <si>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</si>
  <si>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</si>
  <si>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</si>
  <si>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</si>
  <si>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</si>
  <si>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</si>
  <si>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</si>
  <si>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</si>
  <si>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</si>
  <si>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</si>
  <si>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632</t>
  </si>
  <si>
    <t>636</t>
  </si>
  <si>
    <t>Z15</t>
  </si>
  <si>
    <t>700</t>
  </si>
  <si>
    <t>701</t>
  </si>
  <si>
    <t>703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</si>
  <si>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</si>
  <si>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</si>
  <si>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</si>
  <si>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</si>
  <si>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</si>
  <si>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</si>
  <si>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</si>
  <si>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</si>
  <si>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</si>
  <si>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715</t>
  </si>
  <si>
    <t>717</t>
  </si>
  <si>
    <t>719</t>
  </si>
  <si>
    <t>721</t>
  </si>
  <si>
    <t>723</t>
  </si>
  <si>
    <t>Z16</t>
  </si>
  <si>
    <t>729</t>
  </si>
  <si>
    <t>731</t>
  </si>
  <si>
    <t>733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</si>
  <si>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</si>
  <si>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</si>
  <si>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</si>
  <si>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</si>
  <si>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</si>
  <si>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</si>
  <si>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</si>
  <si>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</si>
  <si>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</si>
  <si>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</si>
  <si>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</si>
  <si>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747</t>
  </si>
  <si>
    <t>748</t>
  </si>
  <si>
    <t>749</t>
  </si>
  <si>
    <t>750</t>
  </si>
  <si>
    <t>751</t>
  </si>
  <si>
    <t>753</t>
  </si>
  <si>
    <t>754</t>
  </si>
  <si>
    <t>755</t>
  </si>
  <si>
    <t>Z17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</si>
  <si>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</si>
  <si>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</si>
  <si>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</si>
  <si>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</si>
  <si>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</si>
  <si>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</si>
  <si>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</si>
  <si>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</si>
  <si>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</si>
  <si>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</si>
  <si>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</si>
  <si>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813</t>
  </si>
  <si>
    <t>815</t>
  </si>
  <si>
    <t>Z18</t>
  </si>
  <si>
    <t>812</t>
  </si>
  <si>
    <t>814</t>
  </si>
  <si>
    <t>816</t>
  </si>
  <si>
    <t>818</t>
  </si>
  <si>
    <t>819</t>
  </si>
  <si>
    <t>820</t>
  </si>
  <si>
    <t>821</t>
  </si>
  <si>
    <t>822</t>
  </si>
  <si>
    <t>Z19</t>
  </si>
  <si>
    <t>902</t>
  </si>
  <si>
    <t>904</t>
  </si>
  <si>
    <t>905</t>
  </si>
  <si>
    <t>906</t>
  </si>
  <si>
    <t>907</t>
  </si>
  <si>
    <t>908</t>
  </si>
  <si>
    <t>909</t>
  </si>
  <si>
    <t>910</t>
  </si>
  <si>
    <t>912</t>
  </si>
  <si>
    <t>914</t>
  </si>
  <si>
    <t>915</t>
  </si>
  <si>
    <t>916</t>
  </si>
  <si>
    <t>917</t>
  </si>
  <si>
    <t>918</t>
  </si>
  <si>
    <t>920</t>
  </si>
  <si>
    <t>922</t>
  </si>
  <si>
    <t>923</t>
  </si>
  <si>
    <t>924</t>
  </si>
  <si>
    <t>925</t>
  </si>
  <si>
    <t>926</t>
  </si>
  <si>
    <t>927</t>
  </si>
  <si>
    <t>929</t>
  </si>
  <si>
    <t>930</t>
  </si>
  <si>
    <t>931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</si>
</sst>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u/>
      <color rgb="FF0000FF"/>
    </font>
    <font>
      <color theme="1"/>
      <name val="Arial"/>
      <scheme val="minor"/>
    </font>
    <font>
      <b/>
      <color theme="1"/>
      <name val="Arial"/>
      <scheme val="minor"/>
    </font>
    <font>
      <color rgb="FFD9D9D9"/>
      <name val="Arial"/>
      <scheme val="minor"/>
    </font>
    <font>
      <i/>
      <color theme="1"/>
      <name val="Arial"/>
      <scheme val="minor"/>
    </font>
    <font>
      <color rgb="FF000000"/>
      <name val="Arial"/>
      <scheme val="minor"/>
    </font>
    <font>
      <color theme="1"/>
      <name val="Arial"/>
    </font>
  </fonts>
  <fills count="24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A2C4C9"/>
        <bgColor rgb="FFA2C4C9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76A5AF"/>
        <bgColor rgb="FF76A5AF"/>
      </patternFill>
    </fill>
    <fill>
      <patternFill patternType="solid">
        <fgColor rgb="FFF9CB9C"/>
        <bgColor rgb="FFF9CB9C"/>
      </patternFill>
    </fill>
    <fill>
      <patternFill patternType="solid">
        <fgColor rgb="FFFCE5CD"/>
        <bgColor rgb="FFFCE5CD"/>
      </patternFill>
    </fill>
    <fill>
      <patternFill patternType="solid">
        <fgColor rgb="FFD5A6BD"/>
        <bgColor rgb="FFD5A6BD"/>
      </patternFill>
    </fill>
    <fill>
      <patternFill patternType="solid">
        <fgColor rgb="FFEAD1DC"/>
        <bgColor rgb="FFEAD1DC"/>
      </patternFill>
    </fill>
    <fill>
      <patternFill patternType="solid">
        <fgColor rgb="FFC6D5C0"/>
        <bgColor rgb="FFC6D5C0"/>
      </patternFill>
    </fill>
    <fill>
      <patternFill patternType="solid">
        <fgColor rgb="FFC8D6D9"/>
        <bgColor rgb="FFC8D6D9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6B8AF"/>
        <bgColor rgb="FFE6B8AF"/>
      </patternFill>
    </fill>
  </fills>
  <borders count="1">
    <border/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2" fontId="3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center" readingOrder="0"/>
    </xf>
    <xf borderId="0" fillId="4" fontId="3" numFmtId="0" xfId="0" applyAlignment="1" applyFill="1" applyFont="1">
      <alignment horizontal="right" readingOrder="0"/>
    </xf>
    <xf borderId="0" fillId="5" fontId="2" numFmtId="0" xfId="0" applyAlignment="1" applyFill="1" applyFont="1">
      <alignment readingOrder="0"/>
    </xf>
    <xf borderId="0" fillId="0" fontId="4" numFmtId="0" xfId="0" applyAlignment="1" applyFont="1">
      <alignment horizontal="center" readingOrder="0"/>
    </xf>
    <xf borderId="0" fillId="6" fontId="3" numFmtId="0" xfId="0" applyAlignment="1" applyFill="1" applyFont="1">
      <alignment readingOrder="0"/>
    </xf>
    <xf borderId="0" fillId="7" fontId="2" numFmtId="0" xfId="0" applyAlignment="1" applyFill="1" applyFont="1">
      <alignment readingOrder="0"/>
    </xf>
    <xf borderId="0" fillId="6" fontId="2" numFmtId="0" xfId="0" applyAlignment="1" applyFont="1">
      <alignment readingOrder="0"/>
    </xf>
    <xf borderId="0" fillId="8" fontId="3" numFmtId="0" xfId="0" applyAlignment="1" applyFill="1" applyFont="1">
      <alignment horizontal="right" readingOrder="0"/>
    </xf>
    <xf borderId="0" fillId="9" fontId="2" numFmtId="0" xfId="0" applyAlignment="1" applyFill="1" applyFont="1">
      <alignment readingOrder="0"/>
    </xf>
    <xf borderId="0" fillId="10" fontId="3" numFmtId="0" xfId="0" applyAlignment="1" applyFill="1" applyFont="1">
      <alignment readingOrder="0"/>
    </xf>
    <xf borderId="0" fillId="11" fontId="2" numFmtId="0" xfId="0" applyAlignment="1" applyFill="1" applyFont="1">
      <alignment horizontal="left"/>
    </xf>
    <xf borderId="0" fillId="4" fontId="3" numFmtId="0" xfId="0" applyAlignment="1" applyFont="1">
      <alignment readingOrder="0"/>
    </xf>
    <xf borderId="0" fillId="12" fontId="3" numFmtId="0" xfId="0" applyAlignment="1" applyFill="1" applyFont="1">
      <alignment readingOrder="0"/>
    </xf>
    <xf borderId="0" fillId="3" fontId="3" numFmtId="0" xfId="0" applyAlignment="1" applyFont="1">
      <alignment readingOrder="0"/>
    </xf>
    <xf borderId="0" fillId="0" fontId="2" numFmtId="0" xfId="0" applyAlignment="1" applyFont="1">
      <alignment readingOrder="0"/>
    </xf>
    <xf borderId="0" fillId="13" fontId="3" numFmtId="0" xfId="0" applyAlignment="1" applyFill="1" applyFont="1">
      <alignment readingOrder="0"/>
    </xf>
    <xf borderId="0" fillId="14" fontId="2" numFmtId="0" xfId="0" applyFill="1" applyFont="1"/>
    <xf borderId="0" fillId="5" fontId="2" numFmtId="0" xfId="0" applyFont="1"/>
    <xf borderId="0" fillId="9" fontId="2" numFmtId="0" xfId="0" applyFont="1"/>
    <xf borderId="0" fillId="7" fontId="2" numFmtId="0" xfId="0" applyFont="1"/>
    <xf borderId="0" fillId="15" fontId="3" numFmtId="0" xfId="0" applyAlignment="1" applyFill="1" applyFont="1">
      <alignment readingOrder="0"/>
    </xf>
    <xf borderId="0" fillId="16" fontId="5" numFmtId="0" xfId="0" applyFill="1" applyFont="1"/>
    <xf borderId="0" fillId="2" fontId="3" numFmtId="0" xfId="0" applyAlignment="1" applyFont="1">
      <alignment readingOrder="0"/>
    </xf>
    <xf borderId="0" fillId="17" fontId="2" numFmtId="0" xfId="0" applyFill="1" applyFont="1"/>
    <xf borderId="0" fillId="17" fontId="6" numFmtId="0" xfId="0" applyFont="1"/>
    <xf borderId="0" fillId="5" fontId="6" numFmtId="0" xfId="0" applyFont="1"/>
    <xf borderId="0" fillId="8" fontId="3" numFmtId="0" xfId="0" applyAlignment="1" applyFont="1">
      <alignment readingOrder="0"/>
    </xf>
    <xf borderId="0" fillId="18" fontId="2" numFmtId="0" xfId="0" applyFill="1" applyFont="1"/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0" xfId="0" applyFont="1"/>
    <xf borderId="0" fillId="0" fontId="5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7" numFmtId="0" xfId="0" applyAlignment="1" applyFont="1">
      <alignment horizontal="center" vertical="bottom"/>
    </xf>
    <xf borderId="0" fillId="0" fontId="7" numFmtId="0" xfId="0" applyAlignment="1" applyFont="1">
      <alignment horizontal="center" readingOrder="0" vertical="bottom"/>
    </xf>
    <xf borderId="0" fillId="0" fontId="7" numFmtId="0" xfId="0" applyAlignment="1" applyFont="1">
      <alignment horizontal="center" vertical="bottom"/>
    </xf>
    <xf borderId="0" fillId="0" fontId="2" numFmtId="0" xfId="0" applyAlignment="1" applyFont="1">
      <alignment horizontal="center"/>
    </xf>
    <xf borderId="0" fillId="19" fontId="2" numFmtId="0" xfId="0" applyAlignment="1" applyFill="1" applyFont="1">
      <alignment readingOrder="0"/>
    </xf>
    <xf borderId="0" fillId="19" fontId="2" numFmtId="49" xfId="0" applyAlignment="1" applyFont="1" applyNumberFormat="1">
      <alignment readingOrder="0"/>
    </xf>
    <xf borderId="0" fillId="19" fontId="2" numFmtId="0" xfId="0" applyFont="1"/>
    <xf borderId="0" fillId="14" fontId="2" numFmtId="0" xfId="0" applyAlignment="1" applyFont="1">
      <alignment readingOrder="0"/>
    </xf>
    <xf borderId="0" fillId="14" fontId="2" numFmtId="49" xfId="0" applyAlignment="1" applyFont="1" applyNumberFormat="1">
      <alignment readingOrder="0"/>
    </xf>
    <xf borderId="0" fillId="11" fontId="7" numFmtId="0" xfId="0" applyAlignment="1" applyFont="1">
      <alignment vertical="bottom"/>
    </xf>
    <xf borderId="0" fillId="11" fontId="7" numFmtId="49" xfId="0" applyAlignment="1" applyFont="1" applyNumberFormat="1">
      <alignment readingOrder="0" vertical="bottom"/>
    </xf>
    <xf borderId="0" fillId="11" fontId="2" numFmtId="0" xfId="0" applyFont="1"/>
    <xf borderId="0" fillId="11" fontId="2" numFmtId="0" xfId="0" applyAlignment="1" applyFont="1">
      <alignment readingOrder="0"/>
    </xf>
    <xf borderId="0" fillId="11" fontId="2" numFmtId="49" xfId="0" applyAlignment="1" applyFont="1" applyNumberFormat="1">
      <alignment readingOrder="0"/>
    </xf>
    <xf borderId="0" fillId="5" fontId="2" numFmtId="49" xfId="0" applyAlignment="1" applyFont="1" applyNumberFormat="1">
      <alignment readingOrder="0"/>
    </xf>
    <xf borderId="0" fillId="9" fontId="2" numFmtId="49" xfId="0" applyAlignment="1" applyFont="1" applyNumberFormat="1">
      <alignment readingOrder="0"/>
    </xf>
    <xf borderId="0" fillId="20" fontId="2" numFmtId="0" xfId="0" applyAlignment="1" applyFill="1" applyFont="1">
      <alignment readingOrder="0"/>
    </xf>
    <xf borderId="0" fillId="20" fontId="2" numFmtId="49" xfId="0" applyAlignment="1" applyFont="1" applyNumberFormat="1">
      <alignment readingOrder="0"/>
    </xf>
    <xf borderId="0" fillId="21" fontId="2" numFmtId="0" xfId="0" applyAlignment="1" applyFill="1" applyFont="1">
      <alignment readingOrder="0"/>
    </xf>
    <xf borderId="0" fillId="21" fontId="2" numFmtId="49" xfId="0" applyAlignment="1" applyFont="1" applyNumberFormat="1">
      <alignment readingOrder="0"/>
    </xf>
    <xf borderId="0" fillId="22" fontId="2" numFmtId="0" xfId="0" applyAlignment="1" applyFill="1" applyFont="1">
      <alignment readingOrder="0"/>
    </xf>
    <xf borderId="0" fillId="22" fontId="2" numFmtId="49" xfId="0" applyAlignment="1" applyFont="1" applyNumberFormat="1">
      <alignment readingOrder="0"/>
    </xf>
    <xf borderId="0" fillId="16" fontId="2" numFmtId="0" xfId="0" applyAlignment="1" applyFont="1">
      <alignment readingOrder="0"/>
    </xf>
    <xf borderId="0" fillId="16" fontId="2" numFmtId="49" xfId="0" applyAlignment="1" applyFont="1" applyNumberFormat="1">
      <alignment readingOrder="0"/>
    </xf>
    <xf borderId="0" fillId="23" fontId="2" numFmtId="0" xfId="0" applyAlignment="1" applyFill="1" applyFont="1">
      <alignment readingOrder="0"/>
    </xf>
    <xf borderId="0" fillId="23" fontId="7" numFmtId="49" xfId="0" applyAlignment="1" applyFont="1" applyNumberFormat="1">
      <alignment vertical="bottom"/>
    </xf>
    <xf borderId="0" fillId="23" fontId="7" numFmtId="0" xfId="0" applyAlignment="1" applyFont="1">
      <alignment readingOrder="0" vertical="bottom"/>
    </xf>
    <xf borderId="0" fillId="19" fontId="7" numFmtId="0" xfId="0" applyAlignment="1" applyFont="1">
      <alignment vertical="bottom"/>
    </xf>
    <xf borderId="0" fillId="23" fontId="2" numFmtId="49" xfId="0" applyAlignment="1" applyFont="1" applyNumberFormat="1">
      <alignment readingOrder="0"/>
    </xf>
    <xf borderId="0" fillId="7" fontId="2" numFmtId="49" xfId="0" applyAlignment="1" applyFont="1" applyNumberFormat="1">
      <alignment readingOrder="0"/>
    </xf>
    <xf borderId="0" fillId="9" fontId="7" numFmtId="49" xfId="0" applyAlignment="1" applyFont="1" applyNumberFormat="1">
      <alignment vertical="bottom"/>
    </xf>
    <xf borderId="0" fillId="9" fontId="7" numFmtId="0" xfId="0" applyAlignment="1" applyFont="1">
      <alignment vertical="bottom"/>
    </xf>
    <xf borderId="0" fillId="16" fontId="7" numFmtId="0" xfId="0" applyAlignment="1" applyFont="1">
      <alignment vertical="bottom"/>
    </xf>
    <xf borderId="0" fillId="19" fontId="2" numFmtId="49" xfId="0" applyFont="1" applyNumberForma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4DD0E1"/>
          <bgColor rgb="FF4DD0E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F7FA"/>
          <bgColor rgb="FFE0F7FA"/>
        </patternFill>
      </fill>
      <border/>
    </dxf>
  </dxfs>
  <tableStyles count="1">
    <tableStyle count="3" pivot="0" name="Valve Sheet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257175</xdr:colOff>
      <xdr:row>0</xdr:row>
      <xdr:rowOff>57150</xdr:rowOff>
    </xdr:from>
    <xdr:ext cx="5848350" cy="419100"/>
    <xdr:grpSp>
      <xdr:nvGrpSpPr>
        <xdr:cNvPr id="2" name="Shape 2" title="Drawing"/>
        <xdr:cNvGrpSpPr/>
      </xdr:nvGrpSpPr>
      <xdr:grpSpPr>
        <a:xfrm>
          <a:off x="391850" y="157525"/>
          <a:ext cx="5831625" cy="400200"/>
          <a:chOff x="391850" y="157525"/>
          <a:chExt cx="5831625" cy="400200"/>
        </a:xfrm>
      </xdr:grpSpPr>
      <xdr:sp>
        <xdr:nvSpPr>
          <xdr:cNvPr id="3" name="Shape 3"/>
          <xdr:cNvSpPr/>
        </xdr:nvSpPr>
        <xdr:spPr>
          <a:xfrm>
            <a:off x="391850" y="213775"/>
            <a:ext cx="1140600" cy="287700"/>
          </a:xfrm>
          <a:prstGeom prst="roundRect">
            <a:avLst>
              <a:gd fmla="val 16667" name="adj"/>
            </a:avLst>
          </a:prstGeom>
          <a:solidFill>
            <a:srgbClr val="980000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510875" y="157525"/>
            <a:ext cx="5712600" cy="40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400">
                <a:solidFill>
                  <a:srgbClr val="FFFFFF"/>
                </a:solidFill>
                <a:latin typeface="Impact"/>
                <a:ea typeface="Impact"/>
                <a:cs typeface="Impact"/>
                <a:sym typeface="Impact"/>
              </a:rPr>
              <a:t>R  E  S  E  T</a:t>
            </a:r>
            <a:endParaRPr b="1" sz="1400">
              <a:solidFill>
                <a:srgbClr val="FFFFFF"/>
              </a:solidFill>
              <a:latin typeface="Impact"/>
              <a:ea typeface="Impact"/>
              <a:cs typeface="Impact"/>
              <a:sym typeface="Impact"/>
            </a:endParaRPr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X1000" displayName="Table_1" name="Table_1" id="1">
  <tableColumns count="2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</tableColumns>
  <tableStyleInfo name="Valve Shee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u/0/d/1paQD2pN36FM45oEkbQVESRdT1jPy4UDFiOcmdc0Izh4/edit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F1" s="2"/>
      <c r="G1" s="2"/>
    </row>
    <row r="2">
      <c r="A2" s="2"/>
      <c r="B2" s="2"/>
      <c r="F2" s="2"/>
      <c r="G2" s="2"/>
    </row>
    <row r="3">
      <c r="A3" s="3" t="s">
        <v>1</v>
      </c>
      <c r="F3" s="4" t="s">
        <v>2</v>
      </c>
    </row>
    <row r="4">
      <c r="A4" s="5" t="s">
        <v>3</v>
      </c>
      <c r="B4" s="6"/>
      <c r="C4" s="7" t="s">
        <v>4</v>
      </c>
      <c r="F4" s="8" t="s">
        <v>5</v>
      </c>
      <c r="G4" s="9" t="s">
        <v>6</v>
      </c>
      <c r="H4" s="10" t="s">
        <v>6</v>
      </c>
    </row>
    <row r="5">
      <c r="A5" s="11" t="s">
        <v>7</v>
      </c>
      <c r="B5" s="12"/>
    </row>
    <row r="6">
      <c r="F6" s="13" t="s">
        <v>8</v>
      </c>
      <c r="G6" s="14">
        <f t="array" ref="G6">IFERROR(
  INDEX('Valve Sheet'!B:B, MATCH($G$4, 'Valve Sheet'!A:A, 0)),
  ""
)
</f>
        <v>201</v>
      </c>
    </row>
    <row r="7">
      <c r="A7" s="15" t="s">
        <v>9</v>
      </c>
      <c r="B7" s="16" t="s">
        <v>10</v>
      </c>
      <c r="C7" s="17" t="s">
        <v>11</v>
      </c>
      <c r="D7" s="18"/>
      <c r="F7" s="19" t="s">
        <v>12</v>
      </c>
      <c r="G7" s="20" t="str">
        <f t="array" ref="G7">IFERROR(
  INDEX('Valve Sheet'!C:C, MATCH($G$4, 'Valve Sheet'!A:A, 0)),
  ""
)
</f>
        <v>10 feet from left front corner of shed</v>
      </c>
    </row>
    <row r="8">
      <c r="A8" s="21" t="str">
        <f>IFERROR(__xludf.DUMMYFUNCTION("IF(B4&lt;&gt;"""",
   IFERROR(
      FILTER('Zone Sheet'!A:C, TRIM(TO_TEXT('Zone Sheet'!A:A))=TRIM(TO_TEXT(B4))),
   ""Zone Not Found""),
IF(B5&lt;&gt;"""",
   IFERROR(
      FILTER(
         'Zone Sheet'!A:C,
         TRIM(TO_TEXT('Zone Sheet'!A:A)) =
         TRIM("&amp;"TO_TEXT(
            XLOOKUP(
               TRIM(TO_TEXT(B5)),
               TRIM(TO_TEXT('Zone Sheet'!B:B)),
               'Zone Sheet'!A:A
            )
         ))
      ),
   ""Lot Not Found""),
""""))"),"")</f>
        <v/>
      </c>
      <c r="B8" s="22"/>
      <c r="C8" s="23"/>
      <c r="F8" s="24" t="s">
        <v>13</v>
      </c>
      <c r="G8" s="25" t="str">
        <f t="array" ref="G8">IFERROR(
  INDEX('Valve Sheet'!D:D, MATCH($G$4, 'Valve Sheet'!A:A, 0)),
  ""
)
</f>
        <v>Residential Lot Shutoff</v>
      </c>
    </row>
    <row r="9">
      <c r="A9" s="21"/>
      <c r="B9" s="22"/>
      <c r="C9" s="23"/>
      <c r="F9" s="26" t="s">
        <v>14</v>
      </c>
      <c r="G9" s="21" t="str">
        <f>IFERROR(__xludf.DUMMYFUNCTION("TRANSPOSE(
  UNIQUE(
    FILTER('Zone Sheet'!A:A,'Zone Sheet'!C:C=G4)
  )
)"),"Z2")</f>
        <v>Z2</v>
      </c>
      <c r="H9" s="27" t="str">
        <f>IFERROR(__xludf.DUMMYFUNCTION("""COMPUTED_VALUE"""),"Z4")</f>
        <v>Z4</v>
      </c>
      <c r="I9" s="21"/>
      <c r="J9" s="28"/>
      <c r="K9" s="29"/>
      <c r="L9" s="28"/>
    </row>
    <row r="10">
      <c r="A10" s="21"/>
      <c r="B10" s="22"/>
      <c r="C10" s="23"/>
    </row>
    <row r="11">
      <c r="A11" s="21"/>
      <c r="B11" s="22"/>
      <c r="C11" s="23"/>
      <c r="F11" s="30" t="s">
        <v>15</v>
      </c>
      <c r="G11" s="22" t="str">
        <f>IFERROR(__xludf.DUMMYFUNCTION("IF(G$9="""","""",
   IFERROR(
      FILTER(
         'Zone Sheet'!B:B,
         'Zone Sheet'!C:C = UPPER($G$4),
         'Zone Sheet'!A:A = G$9
      ),
   """")
)
"),"101")</f>
        <v>101</v>
      </c>
      <c r="H11" s="31" t="str">
        <f>IFERROR(__xludf.DUMMYFUNCTION("IF(H$9="""","""",
   IFERROR(
      FILTER(
         'Zone Sheet'!B:B,
         'Zone Sheet'!C:C = UPPER($G$4),
         'Zone Sheet'!A:A = H$9
      ),
   """")
)
"),"201")</f>
        <v>201</v>
      </c>
      <c r="I11" s="22" t="str">
        <f>IFERROR(__xludf.DUMMYFUNCTION("IF(I$9="""","""",
   IFERROR(
      FILTER(
         'Zone Sheet'!B:B,
         'Zone Sheet'!C:C = UPPER($G$4),
         'Zone Sheet'!A:A = I$9
      ),
   """")
)
"),"")</f>
        <v/>
      </c>
      <c r="J11" s="31" t="str">
        <f>IFERROR(__xludf.DUMMYFUNCTION("IF(J$9="""","""",
   IFERROR(
      FILTER(
         'Zone Sheet'!B:B,
         'Zone Sheet'!C:C=UPPER($G$4),
         'Zone Sheet'!A:A=J$9
      ),
   """")
)
"),"")</f>
        <v/>
      </c>
      <c r="K11" s="22" t="str">
        <f>IFERROR(__xludf.DUMMYFUNCTION("IF(K$9="""","""",
   IFERROR(
      FILTER(
         'Zone Sheet'!B:B,
         'Zone Sheet'!C:C=UPPER($G$4),
         'Zone Sheet'!A:A=K$9
      ),
   """")
)
"),"")</f>
        <v/>
      </c>
      <c r="L11" s="31" t="str">
        <f>IFERROR(__xludf.DUMMYFUNCTION("IF(L$9="""","""",
   IFERROR(
      FILTER(
         'Zone Sheet'!B:B,
         'Zone Sheet'!C:C=UPPER($G$4),
         'Zone Sheet'!A:A=L$9
      ),
   """")
)
"),"")</f>
        <v/>
      </c>
    </row>
    <row r="12">
      <c r="A12" s="21"/>
      <c r="B12" s="22"/>
      <c r="C12" s="23"/>
      <c r="G12" s="22" t="str">
        <f>IFERROR(__xludf.DUMMYFUNCTION("""COMPUTED_VALUE"""),"103")</f>
        <v>103</v>
      </c>
      <c r="H12" s="31" t="str">
        <f>IFERROR(__xludf.DUMMYFUNCTION("""COMPUTED_VALUE"""),"202")</f>
        <v>202</v>
      </c>
      <c r="I12" s="22"/>
      <c r="J12" s="31"/>
      <c r="K12" s="22"/>
      <c r="L12" s="31"/>
    </row>
    <row r="13">
      <c r="A13" s="21"/>
      <c r="B13" s="22"/>
      <c r="C13" s="23"/>
      <c r="G13" s="22" t="str">
        <f>IFERROR(__xludf.DUMMYFUNCTION("""COMPUTED_VALUE"""),"104")</f>
        <v>104</v>
      </c>
      <c r="H13" s="31" t="str">
        <f>IFERROR(__xludf.DUMMYFUNCTION("""COMPUTED_VALUE"""),"203")</f>
        <v>203</v>
      </c>
      <c r="I13" s="22"/>
      <c r="J13" s="31"/>
      <c r="K13" s="22"/>
      <c r="L13" s="31"/>
    </row>
    <row r="14">
      <c r="A14" s="21"/>
      <c r="B14" s="22"/>
      <c r="C14" s="23"/>
      <c r="G14" s="22" t="str">
        <f>IFERROR(__xludf.DUMMYFUNCTION("""COMPUTED_VALUE"""),"105")</f>
        <v>105</v>
      </c>
      <c r="H14" s="31" t="str">
        <f>IFERROR(__xludf.DUMMYFUNCTION("""COMPUTED_VALUE"""),"204")</f>
        <v>204</v>
      </c>
      <c r="I14" s="22"/>
      <c r="J14" s="31"/>
      <c r="K14" s="22"/>
      <c r="L14" s="31"/>
    </row>
    <row r="15">
      <c r="A15" s="21"/>
      <c r="B15" s="22"/>
      <c r="C15" s="23"/>
      <c r="G15" s="22" t="str">
        <f>IFERROR(__xludf.DUMMYFUNCTION("""COMPUTED_VALUE"""),"106")</f>
        <v>106</v>
      </c>
      <c r="H15" s="31" t="str">
        <f>IFERROR(__xludf.DUMMYFUNCTION("""COMPUTED_VALUE"""),"205")</f>
        <v>205</v>
      </c>
      <c r="I15" s="22"/>
      <c r="J15" s="31"/>
      <c r="K15" s="22"/>
      <c r="L15" s="31"/>
    </row>
    <row r="16">
      <c r="A16" s="21"/>
      <c r="B16" s="22"/>
      <c r="C16" s="23"/>
      <c r="G16" s="22" t="str">
        <f>IFERROR(__xludf.DUMMYFUNCTION("""COMPUTED_VALUE"""),"107")</f>
        <v>107</v>
      </c>
      <c r="H16" s="31" t="str">
        <f>IFERROR(__xludf.DUMMYFUNCTION("""COMPUTED_VALUE"""),"206")</f>
        <v>206</v>
      </c>
      <c r="I16" s="22"/>
      <c r="J16" s="31"/>
      <c r="K16" s="22"/>
      <c r="L16" s="31"/>
    </row>
    <row r="17">
      <c r="A17" s="21"/>
      <c r="B17" s="22"/>
      <c r="C17" s="23"/>
      <c r="G17" s="22" t="str">
        <f>IFERROR(__xludf.DUMMYFUNCTION("""COMPUTED_VALUE"""),"108")</f>
        <v>108</v>
      </c>
      <c r="H17" s="31" t="str">
        <f>IFERROR(__xludf.DUMMYFUNCTION("""COMPUTED_VALUE"""),"207")</f>
        <v>207</v>
      </c>
      <c r="I17" s="22"/>
      <c r="J17" s="31"/>
      <c r="K17" s="22"/>
      <c r="L17" s="31"/>
    </row>
    <row r="18">
      <c r="A18" s="21"/>
      <c r="B18" s="22"/>
      <c r="C18" s="23"/>
      <c r="G18" s="22" t="str">
        <f>IFERROR(__xludf.DUMMYFUNCTION("""COMPUTED_VALUE"""),"109")</f>
        <v>109</v>
      </c>
      <c r="H18" s="31" t="str">
        <f>IFERROR(__xludf.DUMMYFUNCTION("""COMPUTED_VALUE"""),"208")</f>
        <v>208</v>
      </c>
      <c r="I18" s="22"/>
      <c r="J18" s="31"/>
      <c r="K18" s="22"/>
      <c r="L18" s="31"/>
    </row>
    <row r="19">
      <c r="A19" s="21"/>
      <c r="B19" s="22"/>
      <c r="C19" s="23"/>
      <c r="G19" s="22" t="str">
        <f>IFERROR(__xludf.DUMMYFUNCTION("""COMPUTED_VALUE"""),"110")</f>
        <v>110</v>
      </c>
      <c r="H19" s="31" t="str">
        <f>IFERROR(__xludf.DUMMYFUNCTION("""COMPUTED_VALUE"""),"209")</f>
        <v>209</v>
      </c>
      <c r="I19" s="22"/>
      <c r="J19" s="31"/>
      <c r="K19" s="22"/>
      <c r="L19" s="31"/>
    </row>
    <row r="20">
      <c r="A20" s="21"/>
      <c r="B20" s="22"/>
      <c r="C20" s="23"/>
      <c r="G20" s="22" t="str">
        <f>IFERROR(__xludf.DUMMYFUNCTION("""COMPUTED_VALUE"""),"111")</f>
        <v>111</v>
      </c>
      <c r="H20" s="31" t="str">
        <f>IFERROR(__xludf.DUMMYFUNCTION("""COMPUTED_VALUE"""),"210")</f>
        <v>210</v>
      </c>
      <c r="I20" s="22"/>
      <c r="J20" s="31"/>
      <c r="K20" s="22"/>
      <c r="L20" s="31"/>
    </row>
    <row r="21">
      <c r="A21" s="21"/>
      <c r="B21" s="22"/>
      <c r="C21" s="23"/>
      <c r="G21" s="22" t="str">
        <f>IFERROR(__xludf.DUMMYFUNCTION("""COMPUTED_VALUE"""),"113")</f>
        <v>113</v>
      </c>
      <c r="H21" s="31" t="str">
        <f>IFERROR(__xludf.DUMMYFUNCTION("""COMPUTED_VALUE"""),"211")</f>
        <v>211</v>
      </c>
      <c r="I21" s="22"/>
      <c r="J21" s="31"/>
      <c r="K21" s="22"/>
      <c r="L21" s="31"/>
    </row>
    <row r="22">
      <c r="A22" s="21"/>
      <c r="B22" s="22"/>
      <c r="C22" s="23"/>
      <c r="G22" s="22" t="str">
        <f>IFERROR(__xludf.DUMMYFUNCTION("""COMPUTED_VALUE"""),"115")</f>
        <v>115</v>
      </c>
      <c r="H22" s="31" t="str">
        <f>IFERROR(__xludf.DUMMYFUNCTION("""COMPUTED_VALUE"""),"212")</f>
        <v>212</v>
      </c>
      <c r="I22" s="22"/>
      <c r="J22" s="31"/>
      <c r="K22" s="22"/>
      <c r="L22" s="31"/>
    </row>
    <row r="23">
      <c r="A23" s="21"/>
      <c r="B23" s="22"/>
      <c r="C23" s="23"/>
      <c r="G23" s="22" t="str">
        <f>IFERROR(__xludf.DUMMYFUNCTION("""COMPUTED_VALUE"""),"117")</f>
        <v>117</v>
      </c>
      <c r="H23" s="31" t="str">
        <f>IFERROR(__xludf.DUMMYFUNCTION("""COMPUTED_VALUE"""),"213")</f>
        <v>213</v>
      </c>
      <c r="I23" s="22"/>
      <c r="J23" s="31"/>
      <c r="K23" s="22"/>
      <c r="L23" s="31"/>
    </row>
    <row r="24">
      <c r="A24" s="21"/>
      <c r="B24" s="22"/>
      <c r="C24" s="23"/>
      <c r="G24" s="22"/>
      <c r="H24" s="31" t="str">
        <f>IFERROR(__xludf.DUMMYFUNCTION("""COMPUTED_VALUE"""),"214")</f>
        <v>214</v>
      </c>
      <c r="I24" s="22"/>
      <c r="J24" s="31"/>
      <c r="K24" s="22"/>
      <c r="L24" s="31"/>
    </row>
    <row r="25">
      <c r="A25" s="21"/>
      <c r="B25" s="22"/>
      <c r="C25" s="23"/>
      <c r="G25" s="22"/>
      <c r="H25" s="31" t="str">
        <f>IFERROR(__xludf.DUMMYFUNCTION("""COMPUTED_VALUE"""),"215")</f>
        <v>215</v>
      </c>
      <c r="I25" s="22"/>
      <c r="J25" s="31"/>
      <c r="K25" s="22"/>
      <c r="L25" s="31"/>
    </row>
    <row r="26">
      <c r="A26" s="21"/>
      <c r="B26" s="22"/>
      <c r="C26" s="23"/>
      <c r="G26" s="22"/>
      <c r="H26" s="31" t="str">
        <f>IFERROR(__xludf.DUMMYFUNCTION("""COMPUTED_VALUE"""),"216")</f>
        <v>216</v>
      </c>
      <c r="I26" s="22"/>
      <c r="J26" s="31"/>
      <c r="K26" s="22"/>
      <c r="L26" s="31"/>
    </row>
    <row r="27">
      <c r="A27" s="21"/>
      <c r="B27" s="22"/>
      <c r="C27" s="23"/>
      <c r="G27" s="22"/>
      <c r="H27" s="31" t="str">
        <f>IFERROR(__xludf.DUMMYFUNCTION("""COMPUTED_VALUE"""),"217")</f>
        <v>217</v>
      </c>
      <c r="I27" s="22"/>
      <c r="J27" s="31"/>
      <c r="K27" s="22"/>
      <c r="L27" s="31"/>
    </row>
    <row r="28">
      <c r="A28" s="21"/>
      <c r="B28" s="22"/>
      <c r="C28" s="23"/>
      <c r="G28" s="22"/>
      <c r="H28" s="31" t="str">
        <f>IFERROR(__xludf.DUMMYFUNCTION("""COMPUTED_VALUE"""),"218")</f>
        <v>218</v>
      </c>
      <c r="I28" s="22"/>
      <c r="J28" s="31"/>
      <c r="K28" s="22"/>
      <c r="L28" s="31"/>
    </row>
    <row r="29">
      <c r="A29" s="21"/>
      <c r="B29" s="22"/>
      <c r="C29" s="23"/>
      <c r="G29" s="22"/>
      <c r="H29" s="31" t="str">
        <f>IFERROR(__xludf.DUMMYFUNCTION("""COMPUTED_VALUE"""),"219")</f>
        <v>219</v>
      </c>
      <c r="I29" s="22"/>
      <c r="J29" s="31"/>
      <c r="K29" s="22"/>
      <c r="L29" s="31"/>
    </row>
    <row r="30">
      <c r="A30" s="21"/>
      <c r="B30" s="22"/>
      <c r="C30" s="23"/>
      <c r="G30" s="22"/>
      <c r="H30" s="31" t="str">
        <f>IFERROR(__xludf.DUMMYFUNCTION("""COMPUTED_VALUE"""),"220")</f>
        <v>220</v>
      </c>
      <c r="I30" s="22"/>
      <c r="J30" s="31"/>
      <c r="K30" s="22"/>
      <c r="L30" s="31"/>
    </row>
    <row r="31">
      <c r="A31" s="21"/>
      <c r="B31" s="22"/>
      <c r="C31" s="23"/>
      <c r="G31" s="22"/>
      <c r="H31" s="31" t="str">
        <f>IFERROR(__xludf.DUMMYFUNCTION("""COMPUTED_VALUE"""),"221")</f>
        <v>221</v>
      </c>
      <c r="I31" s="22"/>
      <c r="J31" s="31"/>
      <c r="K31" s="22"/>
      <c r="L31" s="31"/>
    </row>
    <row r="32">
      <c r="A32" s="21"/>
      <c r="B32" s="22"/>
      <c r="C32" s="23"/>
      <c r="G32" s="22"/>
      <c r="H32" s="31" t="str">
        <f>IFERROR(__xludf.DUMMYFUNCTION("""COMPUTED_VALUE"""),"222")</f>
        <v>222</v>
      </c>
      <c r="I32" s="22"/>
      <c r="J32" s="31"/>
      <c r="K32" s="22"/>
      <c r="L32" s="31"/>
    </row>
    <row r="33">
      <c r="A33" s="21"/>
      <c r="B33" s="22"/>
      <c r="C33" s="23"/>
      <c r="G33" s="22"/>
      <c r="H33" s="31" t="str">
        <f>IFERROR(__xludf.DUMMYFUNCTION("""COMPUTED_VALUE"""),"224")</f>
        <v>224</v>
      </c>
      <c r="I33" s="22"/>
      <c r="J33" s="31"/>
      <c r="K33" s="22"/>
      <c r="L33" s="31"/>
    </row>
    <row r="34">
      <c r="A34" s="21"/>
      <c r="B34" s="22"/>
      <c r="C34" s="23"/>
      <c r="G34" s="22"/>
      <c r="H34" s="31" t="str">
        <f>IFERROR(__xludf.DUMMYFUNCTION("""COMPUTED_VALUE"""),"225")</f>
        <v>225</v>
      </c>
      <c r="I34" s="22"/>
      <c r="J34" s="31"/>
      <c r="K34" s="22"/>
      <c r="L34" s="31"/>
    </row>
    <row r="35">
      <c r="A35" s="21"/>
      <c r="B35" s="22"/>
      <c r="C35" s="23"/>
      <c r="G35" s="22"/>
      <c r="H35" s="31" t="str">
        <f>IFERROR(__xludf.DUMMYFUNCTION("""COMPUTED_VALUE"""),"226")</f>
        <v>226</v>
      </c>
      <c r="I35" s="22"/>
      <c r="J35" s="31"/>
      <c r="K35" s="22"/>
      <c r="L35" s="31"/>
    </row>
    <row r="36">
      <c r="A36" s="21"/>
      <c r="B36" s="22"/>
      <c r="C36" s="23"/>
      <c r="G36" s="22"/>
      <c r="H36" s="31" t="str">
        <f>IFERROR(__xludf.DUMMYFUNCTION("""COMPUTED_VALUE"""),"227")</f>
        <v>227</v>
      </c>
      <c r="I36" s="22"/>
      <c r="J36" s="31"/>
      <c r="K36" s="22"/>
      <c r="L36" s="31"/>
    </row>
    <row r="37">
      <c r="A37" s="21"/>
      <c r="B37" s="22"/>
      <c r="C37" s="23"/>
      <c r="G37" s="22"/>
      <c r="H37" s="31" t="str">
        <f>IFERROR(__xludf.DUMMYFUNCTION("""COMPUTED_VALUE"""),"228")</f>
        <v>228</v>
      </c>
      <c r="I37" s="22"/>
      <c r="J37" s="31"/>
      <c r="K37" s="22"/>
      <c r="L37" s="31"/>
    </row>
    <row r="38">
      <c r="A38" s="21"/>
      <c r="B38" s="22"/>
      <c r="C38" s="23"/>
      <c r="G38" s="22"/>
      <c r="H38" s="31" t="str">
        <f>IFERROR(__xludf.DUMMYFUNCTION("""COMPUTED_VALUE"""),"229")</f>
        <v>229</v>
      </c>
      <c r="I38" s="22"/>
      <c r="J38" s="31"/>
      <c r="K38" s="22"/>
      <c r="L38" s="31"/>
    </row>
    <row r="39">
      <c r="A39" s="21"/>
      <c r="B39" s="22"/>
      <c r="C39" s="23"/>
      <c r="G39" s="22"/>
      <c r="H39" s="31" t="str">
        <f>IFERROR(__xludf.DUMMYFUNCTION("""COMPUTED_VALUE"""),"230")</f>
        <v>230</v>
      </c>
      <c r="I39" s="22"/>
      <c r="J39" s="31"/>
      <c r="K39" s="22"/>
      <c r="L39" s="31"/>
    </row>
    <row r="40">
      <c r="A40" s="21"/>
      <c r="B40" s="22"/>
      <c r="C40" s="23"/>
      <c r="G40" s="22"/>
      <c r="H40" s="31" t="str">
        <f>IFERROR(__xludf.DUMMYFUNCTION("""COMPUTED_VALUE"""),"231")</f>
        <v>231</v>
      </c>
      <c r="I40" s="22"/>
      <c r="J40" s="31"/>
      <c r="K40" s="22"/>
      <c r="L40" s="31"/>
    </row>
    <row r="41">
      <c r="A41" s="21"/>
      <c r="B41" s="22"/>
      <c r="C41" s="23"/>
      <c r="G41" s="22"/>
      <c r="H41" s="31" t="str">
        <f>IFERROR(__xludf.DUMMYFUNCTION("""COMPUTED_VALUE"""),"232")</f>
        <v>232</v>
      </c>
      <c r="I41" s="22"/>
      <c r="J41" s="31"/>
      <c r="K41" s="22"/>
      <c r="L41" s="31"/>
    </row>
    <row r="42">
      <c r="A42" s="21"/>
      <c r="B42" s="22"/>
      <c r="C42" s="23"/>
      <c r="G42" s="22"/>
      <c r="H42" s="31"/>
      <c r="I42" s="22"/>
      <c r="J42" s="31"/>
      <c r="K42" s="22"/>
      <c r="L42" s="31"/>
    </row>
    <row r="43">
      <c r="A43" s="21"/>
      <c r="B43" s="22"/>
      <c r="C43" s="23"/>
      <c r="G43" s="22"/>
      <c r="H43" s="31"/>
      <c r="I43" s="22"/>
      <c r="J43" s="31"/>
      <c r="K43" s="22"/>
      <c r="L43" s="31"/>
    </row>
    <row r="44">
      <c r="A44" s="21"/>
      <c r="B44" s="22"/>
      <c r="C44" s="23"/>
      <c r="G44" s="22"/>
      <c r="H44" s="31"/>
      <c r="I44" s="22"/>
      <c r="J44" s="31"/>
      <c r="K44" s="22"/>
      <c r="L44" s="31"/>
    </row>
    <row r="45">
      <c r="A45" s="21"/>
      <c r="B45" s="22"/>
      <c r="C45" s="23"/>
      <c r="G45" s="22"/>
      <c r="H45" s="31"/>
      <c r="I45" s="22"/>
      <c r="J45" s="31"/>
      <c r="K45" s="22"/>
      <c r="L45" s="31"/>
    </row>
    <row r="46">
      <c r="A46" s="21"/>
      <c r="B46" s="22"/>
      <c r="C46" s="23"/>
      <c r="G46" s="22"/>
      <c r="H46" s="31"/>
      <c r="I46" s="22"/>
      <c r="J46" s="31"/>
      <c r="K46" s="22"/>
      <c r="L46" s="31"/>
    </row>
    <row r="47">
      <c r="A47" s="21"/>
      <c r="B47" s="22"/>
      <c r="C47" s="23"/>
      <c r="G47" s="22"/>
      <c r="H47" s="31"/>
      <c r="I47" s="22"/>
      <c r="J47" s="31"/>
      <c r="K47" s="22"/>
      <c r="L47" s="31"/>
    </row>
    <row r="48">
      <c r="A48" s="21"/>
      <c r="B48" s="22"/>
      <c r="C48" s="23"/>
      <c r="G48" s="22"/>
      <c r="H48" s="31"/>
      <c r="I48" s="22"/>
      <c r="J48" s="31"/>
      <c r="K48" s="22"/>
      <c r="L48" s="31"/>
    </row>
    <row r="49">
      <c r="A49" s="21"/>
      <c r="B49" s="22"/>
      <c r="C49" s="23"/>
      <c r="G49" s="22"/>
      <c r="H49" s="31"/>
      <c r="I49" s="22"/>
      <c r="J49" s="31"/>
      <c r="K49" s="22"/>
      <c r="L49" s="31"/>
    </row>
    <row r="50">
      <c r="A50" s="21"/>
      <c r="B50" s="22"/>
      <c r="C50" s="23"/>
      <c r="G50" s="22"/>
      <c r="H50" s="31"/>
      <c r="I50" s="22"/>
      <c r="J50" s="31"/>
      <c r="K50" s="22"/>
      <c r="L50" s="31"/>
    </row>
    <row r="51">
      <c r="A51" s="21"/>
      <c r="B51" s="22"/>
      <c r="C51" s="23"/>
      <c r="G51" s="22"/>
      <c r="H51" s="31"/>
      <c r="I51" s="22"/>
      <c r="J51" s="31"/>
      <c r="K51" s="22"/>
      <c r="L51" s="31"/>
    </row>
    <row r="52">
      <c r="A52" s="21"/>
      <c r="B52" s="22"/>
      <c r="C52" s="23"/>
      <c r="G52" s="22"/>
      <c r="H52" s="31"/>
      <c r="I52" s="22"/>
      <c r="J52" s="31"/>
      <c r="K52" s="22"/>
      <c r="L52" s="31"/>
    </row>
    <row r="53">
      <c r="A53" s="21"/>
      <c r="B53" s="22"/>
      <c r="C53" s="23"/>
      <c r="G53" s="22"/>
      <c r="H53" s="31"/>
      <c r="I53" s="22"/>
      <c r="J53" s="31"/>
      <c r="K53" s="22"/>
      <c r="L53" s="31"/>
    </row>
    <row r="54">
      <c r="A54" s="21"/>
      <c r="B54" s="22"/>
      <c r="C54" s="23"/>
      <c r="G54" s="22"/>
      <c r="H54" s="31"/>
      <c r="I54" s="22"/>
      <c r="J54" s="31"/>
      <c r="K54" s="22"/>
      <c r="L54" s="31"/>
    </row>
    <row r="55">
      <c r="A55" s="21"/>
      <c r="B55" s="22"/>
      <c r="C55" s="23"/>
      <c r="G55" s="22"/>
      <c r="H55" s="31"/>
      <c r="I55" s="22"/>
      <c r="J55" s="31"/>
      <c r="K55" s="22"/>
      <c r="L55" s="31"/>
    </row>
    <row r="56">
      <c r="A56" s="21"/>
      <c r="B56" s="22"/>
      <c r="C56" s="23"/>
      <c r="G56" s="22"/>
      <c r="H56" s="31"/>
      <c r="I56" s="22"/>
      <c r="J56" s="31"/>
      <c r="K56" s="22"/>
      <c r="L56" s="31"/>
    </row>
    <row r="57">
      <c r="A57" s="21"/>
      <c r="B57" s="22"/>
      <c r="C57" s="23"/>
      <c r="G57" s="22"/>
      <c r="H57" s="31"/>
      <c r="I57" s="22"/>
      <c r="J57" s="31"/>
      <c r="K57" s="22"/>
      <c r="L57" s="31"/>
    </row>
    <row r="58">
      <c r="A58" s="21"/>
      <c r="B58" s="22"/>
      <c r="C58" s="23"/>
      <c r="G58" s="22"/>
      <c r="H58" s="31"/>
      <c r="I58" s="22"/>
      <c r="J58" s="31"/>
      <c r="K58" s="22"/>
      <c r="L58" s="31"/>
    </row>
    <row r="59">
      <c r="A59" s="21"/>
      <c r="B59" s="22"/>
      <c r="C59" s="23"/>
      <c r="G59" s="22"/>
      <c r="H59" s="31"/>
      <c r="I59" s="22"/>
      <c r="J59" s="31"/>
      <c r="K59" s="22"/>
      <c r="L59" s="31"/>
    </row>
    <row r="60">
      <c r="A60" s="21"/>
      <c r="B60" s="22"/>
      <c r="C60" s="23"/>
      <c r="G60" s="22"/>
      <c r="H60" s="31"/>
      <c r="I60" s="22"/>
      <c r="J60" s="31"/>
      <c r="K60" s="22"/>
      <c r="L60" s="31"/>
    </row>
    <row r="61">
      <c r="A61" s="21"/>
      <c r="B61" s="22"/>
      <c r="C61" s="23"/>
      <c r="G61" s="22"/>
      <c r="H61" s="31"/>
      <c r="I61" s="22"/>
      <c r="J61" s="31"/>
      <c r="K61" s="22"/>
      <c r="L61" s="31"/>
    </row>
    <row r="62">
      <c r="A62" s="21"/>
      <c r="B62" s="22"/>
      <c r="C62" s="23"/>
      <c r="G62" s="22"/>
      <c r="H62" s="31"/>
      <c r="I62" s="22"/>
      <c r="J62" s="31"/>
      <c r="K62" s="22"/>
      <c r="L62" s="31"/>
    </row>
    <row r="63">
      <c r="A63" s="21"/>
      <c r="B63" s="22"/>
      <c r="C63" s="23"/>
      <c r="G63" s="22"/>
      <c r="H63" s="31"/>
      <c r="I63" s="22"/>
      <c r="J63" s="31"/>
      <c r="K63" s="22"/>
      <c r="L63" s="31"/>
    </row>
    <row r="64">
      <c r="A64" s="21"/>
      <c r="B64" s="22"/>
      <c r="C64" s="23"/>
      <c r="G64" s="22"/>
      <c r="H64" s="31"/>
      <c r="I64" s="22"/>
      <c r="J64" s="31"/>
      <c r="K64" s="22"/>
      <c r="L64" s="31"/>
    </row>
    <row r="65">
      <c r="A65" s="21"/>
      <c r="B65" s="22"/>
      <c r="C65" s="23"/>
      <c r="G65" s="22"/>
      <c r="H65" s="31"/>
      <c r="I65" s="22"/>
      <c r="J65" s="31"/>
      <c r="K65" s="22"/>
      <c r="L65" s="31"/>
    </row>
    <row r="66">
      <c r="A66" s="21"/>
      <c r="B66" s="22"/>
      <c r="C66" s="23"/>
      <c r="G66" s="22"/>
      <c r="H66" s="31"/>
      <c r="I66" s="22"/>
      <c r="J66" s="31"/>
      <c r="K66" s="22"/>
      <c r="L66" s="31"/>
    </row>
    <row r="67">
      <c r="A67" s="21"/>
      <c r="B67" s="22"/>
      <c r="C67" s="23"/>
      <c r="G67" s="22"/>
      <c r="H67" s="31"/>
      <c r="I67" s="22"/>
      <c r="J67" s="31"/>
      <c r="K67" s="22"/>
      <c r="L67" s="31"/>
    </row>
    <row r="68">
      <c r="A68" s="21"/>
      <c r="B68" s="22"/>
      <c r="C68" s="23"/>
      <c r="G68" s="22"/>
      <c r="H68" s="31"/>
      <c r="I68" s="22"/>
      <c r="J68" s="31"/>
      <c r="K68" s="22"/>
      <c r="L68" s="31"/>
    </row>
    <row r="69">
      <c r="A69" s="21"/>
      <c r="B69" s="22"/>
      <c r="C69" s="23"/>
      <c r="G69" s="22"/>
      <c r="H69" s="31"/>
      <c r="I69" s="22"/>
      <c r="J69" s="31"/>
      <c r="K69" s="22"/>
      <c r="L69" s="31"/>
    </row>
    <row r="70">
      <c r="A70" s="21"/>
      <c r="B70" s="22"/>
      <c r="C70" s="23"/>
      <c r="G70" s="22"/>
      <c r="H70" s="31"/>
      <c r="I70" s="22"/>
      <c r="J70" s="31"/>
      <c r="K70" s="22"/>
      <c r="L70" s="31"/>
    </row>
    <row r="71">
      <c r="A71" s="21"/>
      <c r="B71" s="22"/>
      <c r="C71" s="23"/>
      <c r="G71" s="22"/>
      <c r="H71" s="31"/>
      <c r="I71" s="22"/>
      <c r="J71" s="31"/>
      <c r="K71" s="22"/>
      <c r="L71" s="31"/>
    </row>
    <row r="72">
      <c r="A72" s="21"/>
      <c r="B72" s="22"/>
      <c r="C72" s="23"/>
      <c r="G72" s="22"/>
      <c r="H72" s="31"/>
      <c r="I72" s="22"/>
      <c r="J72" s="31"/>
      <c r="K72" s="22"/>
      <c r="L72" s="31"/>
    </row>
    <row r="73">
      <c r="A73" s="21"/>
      <c r="B73" s="22"/>
      <c r="C73" s="23"/>
      <c r="G73" s="22"/>
      <c r="H73" s="31"/>
      <c r="I73" s="22"/>
      <c r="J73" s="31"/>
      <c r="K73" s="22"/>
      <c r="L73" s="31"/>
    </row>
    <row r="74">
      <c r="A74" s="21"/>
      <c r="B74" s="22"/>
      <c r="C74" s="23"/>
      <c r="G74" s="22"/>
      <c r="H74" s="31"/>
      <c r="I74" s="22"/>
      <c r="J74" s="31"/>
      <c r="K74" s="22"/>
      <c r="L74" s="31"/>
    </row>
    <row r="75">
      <c r="A75" s="21"/>
      <c r="B75" s="22"/>
      <c r="C75" s="23"/>
      <c r="G75" s="22"/>
      <c r="H75" s="31"/>
      <c r="I75" s="22"/>
      <c r="J75" s="31"/>
      <c r="K75" s="22"/>
      <c r="L75" s="31"/>
    </row>
    <row r="76">
      <c r="A76" s="21"/>
      <c r="B76" s="22"/>
      <c r="C76" s="23"/>
      <c r="G76" s="22"/>
      <c r="H76" s="31"/>
      <c r="I76" s="22"/>
      <c r="J76" s="31"/>
      <c r="K76" s="22"/>
      <c r="L76" s="31"/>
    </row>
    <row r="77">
      <c r="A77" s="21"/>
      <c r="B77" s="22"/>
      <c r="C77" s="23"/>
      <c r="G77" s="22"/>
      <c r="H77" s="31"/>
      <c r="I77" s="22"/>
      <c r="J77" s="31"/>
      <c r="K77" s="22"/>
      <c r="L77" s="31"/>
    </row>
    <row r="78">
      <c r="A78" s="21"/>
      <c r="B78" s="22"/>
      <c r="C78" s="23"/>
      <c r="G78" s="22"/>
      <c r="H78" s="31"/>
      <c r="I78" s="22"/>
      <c r="J78" s="31"/>
      <c r="K78" s="22"/>
      <c r="L78" s="31"/>
    </row>
    <row r="79">
      <c r="A79" s="21"/>
      <c r="B79" s="22"/>
      <c r="C79" s="23"/>
      <c r="G79" s="22"/>
      <c r="H79" s="31"/>
      <c r="I79" s="22"/>
      <c r="J79" s="31"/>
      <c r="K79" s="22"/>
      <c r="L79" s="31"/>
    </row>
    <row r="80">
      <c r="A80" s="21"/>
      <c r="B80" s="22"/>
      <c r="C80" s="23"/>
      <c r="G80" s="22"/>
      <c r="H80" s="31"/>
      <c r="I80" s="22"/>
      <c r="J80" s="31"/>
      <c r="K80" s="22"/>
      <c r="L80" s="31"/>
    </row>
    <row r="81">
      <c r="A81" s="21"/>
      <c r="B81" s="22"/>
      <c r="C81" s="23"/>
      <c r="G81" s="22"/>
      <c r="H81" s="31"/>
      <c r="I81" s="22"/>
      <c r="J81" s="31"/>
      <c r="K81" s="22"/>
      <c r="L81" s="31"/>
    </row>
    <row r="82">
      <c r="A82" s="21"/>
      <c r="B82" s="22"/>
      <c r="C82" s="23"/>
      <c r="G82" s="22"/>
      <c r="H82" s="31"/>
      <c r="I82" s="22"/>
      <c r="J82" s="31"/>
      <c r="K82" s="22"/>
      <c r="L82" s="31"/>
    </row>
    <row r="83">
      <c r="A83" s="21"/>
      <c r="B83" s="22"/>
      <c r="C83" s="23"/>
      <c r="G83" s="22"/>
      <c r="H83" s="31"/>
      <c r="I83" s="22"/>
      <c r="J83" s="31"/>
      <c r="K83" s="22"/>
      <c r="L83" s="31"/>
    </row>
    <row r="84">
      <c r="A84" s="21"/>
      <c r="B84" s="22"/>
      <c r="C84" s="23"/>
      <c r="G84" s="22"/>
      <c r="H84" s="31"/>
      <c r="I84" s="22"/>
      <c r="J84" s="31"/>
      <c r="K84" s="22"/>
      <c r="L84" s="31"/>
    </row>
    <row r="85">
      <c r="A85" s="21"/>
      <c r="B85" s="22"/>
      <c r="C85" s="23"/>
      <c r="G85" s="22"/>
      <c r="H85" s="31"/>
      <c r="I85" s="22"/>
      <c r="J85" s="31"/>
      <c r="K85" s="22"/>
      <c r="L85" s="31"/>
    </row>
    <row r="86">
      <c r="A86" s="21"/>
      <c r="B86" s="22"/>
      <c r="C86" s="23"/>
      <c r="G86" s="22"/>
      <c r="H86" s="31"/>
      <c r="I86" s="22"/>
      <c r="J86" s="31"/>
      <c r="K86" s="22"/>
      <c r="L86" s="31"/>
    </row>
    <row r="87">
      <c r="A87" s="21"/>
      <c r="B87" s="22"/>
      <c r="C87" s="23"/>
      <c r="G87" s="22"/>
      <c r="H87" s="31"/>
      <c r="I87" s="22"/>
      <c r="J87" s="31"/>
      <c r="K87" s="22"/>
      <c r="L87" s="31"/>
    </row>
    <row r="88">
      <c r="A88" s="21"/>
      <c r="B88" s="22"/>
      <c r="C88" s="23"/>
      <c r="G88" s="22"/>
      <c r="H88" s="31"/>
      <c r="I88" s="22"/>
      <c r="J88" s="31"/>
      <c r="K88" s="22"/>
      <c r="L88" s="31"/>
    </row>
    <row r="89">
      <c r="A89" s="21"/>
      <c r="B89" s="22"/>
      <c r="C89" s="23"/>
      <c r="G89" s="22"/>
      <c r="H89" s="31"/>
      <c r="I89" s="22"/>
      <c r="J89" s="31"/>
      <c r="K89" s="22"/>
      <c r="L89" s="31"/>
    </row>
    <row r="90">
      <c r="A90" s="21"/>
      <c r="B90" s="22"/>
      <c r="C90" s="23"/>
      <c r="G90" s="22"/>
      <c r="H90" s="31"/>
      <c r="I90" s="22"/>
      <c r="J90" s="31"/>
      <c r="K90" s="22"/>
      <c r="L90" s="31"/>
    </row>
    <row r="91">
      <c r="A91" s="21"/>
      <c r="B91" s="22"/>
      <c r="C91" s="23"/>
      <c r="G91" s="22"/>
      <c r="H91" s="31"/>
      <c r="I91" s="22"/>
      <c r="J91" s="31"/>
      <c r="K91" s="22"/>
      <c r="L91" s="31"/>
    </row>
    <row r="92">
      <c r="A92" s="21"/>
      <c r="B92" s="22"/>
      <c r="C92" s="23"/>
      <c r="G92" s="22"/>
      <c r="H92" s="31"/>
      <c r="I92" s="22"/>
      <c r="J92" s="31"/>
      <c r="K92" s="22"/>
      <c r="L92" s="31"/>
    </row>
    <row r="93">
      <c r="A93" s="21"/>
      <c r="B93" s="22"/>
      <c r="C93" s="23"/>
      <c r="G93" s="22"/>
      <c r="H93" s="31"/>
      <c r="I93" s="22"/>
      <c r="J93" s="31"/>
      <c r="K93" s="22"/>
      <c r="L93" s="31"/>
    </row>
    <row r="94">
      <c r="A94" s="21"/>
      <c r="B94" s="22"/>
      <c r="C94" s="23"/>
      <c r="G94" s="22"/>
      <c r="H94" s="31"/>
      <c r="I94" s="22"/>
      <c r="J94" s="31"/>
      <c r="K94" s="22"/>
      <c r="L94" s="31"/>
    </row>
    <row r="95">
      <c r="A95" s="21"/>
      <c r="B95" s="22"/>
      <c r="C95" s="23"/>
      <c r="G95" s="22"/>
      <c r="H95" s="31"/>
      <c r="I95" s="22"/>
      <c r="J95" s="31"/>
      <c r="K95" s="22"/>
      <c r="L95" s="31"/>
    </row>
    <row r="96">
      <c r="A96" s="21"/>
      <c r="B96" s="22"/>
      <c r="C96" s="23"/>
      <c r="G96" s="22"/>
      <c r="H96" s="31"/>
      <c r="I96" s="22"/>
      <c r="J96" s="31"/>
      <c r="K96" s="22"/>
      <c r="L96" s="31"/>
    </row>
    <row r="97">
      <c r="A97" s="21"/>
      <c r="B97" s="22"/>
      <c r="C97" s="23"/>
      <c r="G97" s="22"/>
      <c r="H97" s="31"/>
      <c r="I97" s="22"/>
      <c r="J97" s="31"/>
      <c r="K97" s="22"/>
      <c r="L97" s="31"/>
    </row>
    <row r="98">
      <c r="A98" s="21"/>
      <c r="B98" s="22"/>
      <c r="C98" s="23"/>
      <c r="G98" s="22"/>
      <c r="H98" s="31"/>
      <c r="I98" s="22"/>
      <c r="J98" s="31"/>
      <c r="K98" s="22"/>
      <c r="L98" s="31"/>
    </row>
    <row r="99">
      <c r="A99" s="21"/>
      <c r="B99" s="22"/>
      <c r="C99" s="23"/>
      <c r="G99" s="22"/>
      <c r="H99" s="31"/>
      <c r="I99" s="22"/>
      <c r="J99" s="31"/>
      <c r="K99" s="22"/>
      <c r="L99" s="31"/>
    </row>
    <row r="100">
      <c r="A100" s="21"/>
      <c r="B100" s="22"/>
      <c r="C100" s="23"/>
      <c r="G100" s="22"/>
      <c r="H100" s="31"/>
      <c r="I100" s="22"/>
      <c r="J100" s="31"/>
      <c r="K100" s="22"/>
      <c r="L100" s="31"/>
    </row>
    <row r="101">
      <c r="A101" s="21"/>
      <c r="B101" s="22"/>
      <c r="C101" s="23"/>
      <c r="G101" s="22"/>
      <c r="H101" s="31"/>
      <c r="I101" s="22"/>
      <c r="J101" s="31"/>
      <c r="K101" s="22"/>
      <c r="L101" s="31"/>
    </row>
    <row r="102">
      <c r="A102" s="21"/>
      <c r="B102" s="22"/>
      <c r="C102" s="23"/>
      <c r="G102" s="22"/>
      <c r="H102" s="31"/>
      <c r="I102" s="22"/>
      <c r="J102" s="31"/>
      <c r="K102" s="22"/>
      <c r="L102" s="31"/>
    </row>
    <row r="103">
      <c r="A103" s="21"/>
      <c r="B103" s="22"/>
      <c r="C103" s="23"/>
      <c r="G103" s="22"/>
      <c r="H103" s="31"/>
      <c r="I103" s="22"/>
      <c r="J103" s="31"/>
      <c r="K103" s="22"/>
      <c r="L103" s="31"/>
    </row>
    <row r="104">
      <c r="A104" s="21"/>
      <c r="B104" s="22"/>
      <c r="C104" s="23"/>
      <c r="G104" s="22"/>
      <c r="H104" s="31"/>
      <c r="I104" s="22"/>
      <c r="J104" s="31"/>
      <c r="K104" s="22"/>
      <c r="L104" s="31"/>
    </row>
    <row r="105">
      <c r="A105" s="21"/>
      <c r="B105" s="22"/>
      <c r="C105" s="23"/>
      <c r="G105" s="22"/>
      <c r="H105" s="31"/>
      <c r="I105" s="22"/>
      <c r="J105" s="31"/>
      <c r="K105" s="22"/>
      <c r="L105" s="31"/>
    </row>
    <row r="106">
      <c r="A106" s="21"/>
      <c r="B106" s="22"/>
      <c r="C106" s="23"/>
      <c r="G106" s="22"/>
      <c r="H106" s="31"/>
      <c r="I106" s="22"/>
      <c r="J106" s="31"/>
      <c r="K106" s="22"/>
      <c r="L106" s="31"/>
    </row>
    <row r="107">
      <c r="A107" s="21"/>
      <c r="B107" s="22"/>
      <c r="C107" s="23"/>
      <c r="G107" s="22"/>
      <c r="H107" s="31"/>
      <c r="I107" s="22"/>
      <c r="J107" s="31"/>
      <c r="K107" s="22"/>
      <c r="L107" s="31"/>
    </row>
    <row r="108">
      <c r="A108" s="21"/>
      <c r="B108" s="22"/>
      <c r="C108" s="23"/>
      <c r="G108" s="22"/>
      <c r="H108" s="31"/>
      <c r="I108" s="22"/>
      <c r="J108" s="31"/>
      <c r="K108" s="22"/>
      <c r="L108" s="31"/>
    </row>
    <row r="109">
      <c r="A109" s="21"/>
      <c r="B109" s="22"/>
      <c r="C109" s="23"/>
      <c r="G109" s="22"/>
      <c r="H109" s="31"/>
      <c r="I109" s="22"/>
      <c r="J109" s="31"/>
      <c r="K109" s="22"/>
      <c r="L109" s="31"/>
    </row>
    <row r="110">
      <c r="A110" s="21"/>
      <c r="B110" s="22"/>
      <c r="C110" s="23"/>
      <c r="G110" s="22"/>
      <c r="H110" s="31"/>
      <c r="I110" s="22"/>
      <c r="J110" s="31"/>
      <c r="K110" s="22"/>
      <c r="L110" s="31"/>
    </row>
    <row r="111">
      <c r="A111" s="21"/>
      <c r="B111" s="22"/>
      <c r="C111" s="23"/>
      <c r="G111" s="22"/>
      <c r="H111" s="31"/>
      <c r="I111" s="22"/>
      <c r="J111" s="31"/>
      <c r="K111" s="22"/>
      <c r="L111" s="31"/>
    </row>
    <row r="112">
      <c r="A112" s="21"/>
      <c r="B112" s="22"/>
      <c r="C112" s="23"/>
      <c r="G112" s="22"/>
      <c r="H112" s="31"/>
      <c r="I112" s="22"/>
      <c r="J112" s="31"/>
      <c r="K112" s="22"/>
      <c r="L112" s="31"/>
    </row>
    <row r="113">
      <c r="A113" s="21"/>
      <c r="B113" s="22"/>
      <c r="C113" s="23"/>
      <c r="G113" s="22"/>
      <c r="H113" s="31"/>
      <c r="I113" s="22"/>
      <c r="J113" s="31"/>
      <c r="K113" s="22"/>
      <c r="L113" s="31"/>
    </row>
    <row r="114">
      <c r="A114" s="21"/>
      <c r="B114" s="22"/>
      <c r="C114" s="23"/>
      <c r="G114" s="22"/>
      <c r="H114" s="31"/>
      <c r="I114" s="22"/>
      <c r="J114" s="31"/>
      <c r="K114" s="22"/>
      <c r="L114" s="31"/>
    </row>
    <row r="115">
      <c r="A115" s="21"/>
      <c r="B115" s="22"/>
      <c r="C115" s="23"/>
      <c r="G115" s="22"/>
      <c r="H115" s="31"/>
      <c r="I115" s="22"/>
      <c r="J115" s="31"/>
      <c r="K115" s="22"/>
      <c r="L115" s="31"/>
    </row>
    <row r="116">
      <c r="A116" s="21"/>
      <c r="B116" s="22"/>
      <c r="C116" s="23"/>
      <c r="G116" s="22"/>
      <c r="H116" s="31"/>
      <c r="I116" s="22"/>
      <c r="J116" s="31"/>
      <c r="K116" s="22"/>
      <c r="L116" s="31"/>
    </row>
    <row r="117">
      <c r="A117" s="21"/>
      <c r="B117" s="22"/>
      <c r="C117" s="23"/>
      <c r="G117" s="22"/>
      <c r="H117" s="31"/>
      <c r="I117" s="22"/>
      <c r="J117" s="31"/>
      <c r="K117" s="22"/>
      <c r="L117" s="31"/>
    </row>
    <row r="118">
      <c r="A118" s="21"/>
      <c r="B118" s="22"/>
      <c r="C118" s="23"/>
      <c r="G118" s="22"/>
      <c r="H118" s="31"/>
      <c r="I118" s="22"/>
      <c r="J118" s="31"/>
      <c r="K118" s="22"/>
      <c r="L118" s="31"/>
    </row>
    <row r="119">
      <c r="A119" s="21"/>
      <c r="B119" s="22"/>
      <c r="C119" s="23"/>
      <c r="G119" s="22"/>
      <c r="H119" s="31"/>
      <c r="I119" s="22"/>
      <c r="J119" s="31"/>
      <c r="K119" s="22"/>
      <c r="L119" s="31"/>
    </row>
    <row r="120">
      <c r="A120" s="21"/>
      <c r="B120" s="22"/>
      <c r="C120" s="23"/>
      <c r="G120" s="22"/>
      <c r="H120" s="31"/>
      <c r="I120" s="22"/>
      <c r="J120" s="31"/>
      <c r="K120" s="22"/>
      <c r="L120" s="31"/>
    </row>
    <row r="121">
      <c r="A121" s="21"/>
      <c r="B121" s="22"/>
      <c r="C121" s="23"/>
      <c r="G121" s="22"/>
      <c r="H121" s="31"/>
      <c r="I121" s="22"/>
      <c r="J121" s="31"/>
      <c r="K121" s="22"/>
      <c r="L121" s="31"/>
    </row>
    <row r="122">
      <c r="A122" s="21"/>
      <c r="B122" s="22"/>
      <c r="C122" s="23"/>
      <c r="G122" s="22"/>
      <c r="H122" s="31"/>
      <c r="I122" s="22"/>
      <c r="J122" s="31"/>
      <c r="K122" s="22"/>
      <c r="L122" s="31"/>
    </row>
    <row r="123">
      <c r="A123" s="21"/>
      <c r="B123" s="22"/>
      <c r="C123" s="23"/>
      <c r="G123" s="22"/>
      <c r="H123" s="31"/>
      <c r="I123" s="22"/>
      <c r="J123" s="31"/>
      <c r="K123" s="22"/>
      <c r="L123" s="31"/>
    </row>
    <row r="124">
      <c r="A124" s="21"/>
      <c r="B124" s="22"/>
      <c r="C124" s="23"/>
      <c r="G124" s="22"/>
      <c r="H124" s="31"/>
      <c r="I124" s="22"/>
      <c r="J124" s="31"/>
      <c r="K124" s="22"/>
      <c r="L124" s="31"/>
    </row>
    <row r="125">
      <c r="A125" s="21"/>
      <c r="B125" s="22"/>
      <c r="C125" s="23"/>
      <c r="G125" s="22"/>
      <c r="H125" s="31"/>
      <c r="I125" s="22"/>
      <c r="J125" s="31"/>
      <c r="K125" s="22"/>
      <c r="L125" s="31"/>
    </row>
    <row r="126">
      <c r="A126" s="21"/>
      <c r="B126" s="22"/>
      <c r="C126" s="23"/>
      <c r="G126" s="22"/>
      <c r="H126" s="31"/>
      <c r="I126" s="22"/>
      <c r="J126" s="31"/>
      <c r="K126" s="22"/>
      <c r="L126" s="31"/>
    </row>
    <row r="127">
      <c r="A127" s="21"/>
      <c r="B127" s="22"/>
      <c r="C127" s="23"/>
      <c r="G127" s="22"/>
      <c r="H127" s="31"/>
      <c r="I127" s="22"/>
      <c r="J127" s="31"/>
      <c r="K127" s="22"/>
      <c r="L127" s="31"/>
    </row>
    <row r="128">
      <c r="A128" s="21"/>
      <c r="B128" s="22"/>
      <c r="C128" s="23"/>
      <c r="G128" s="22"/>
      <c r="H128" s="31"/>
      <c r="I128" s="22"/>
      <c r="J128" s="31"/>
      <c r="K128" s="22"/>
      <c r="L128" s="31"/>
    </row>
    <row r="129">
      <c r="A129" s="21"/>
      <c r="B129" s="22"/>
      <c r="C129" s="23"/>
      <c r="G129" s="22"/>
      <c r="H129" s="31"/>
      <c r="I129" s="22"/>
      <c r="J129" s="31"/>
      <c r="K129" s="22"/>
      <c r="L129" s="31"/>
    </row>
    <row r="130">
      <c r="A130" s="21"/>
      <c r="B130" s="22"/>
      <c r="C130" s="23"/>
      <c r="G130" s="22"/>
      <c r="H130" s="31"/>
      <c r="I130" s="22"/>
      <c r="J130" s="31"/>
      <c r="K130" s="22"/>
      <c r="L130" s="31"/>
    </row>
    <row r="131">
      <c r="A131" s="21"/>
      <c r="B131" s="22"/>
      <c r="C131" s="23"/>
      <c r="G131" s="22"/>
      <c r="H131" s="31"/>
      <c r="I131" s="22"/>
      <c r="J131" s="31"/>
      <c r="K131" s="22"/>
      <c r="L131" s="31"/>
    </row>
    <row r="132">
      <c r="A132" s="21"/>
      <c r="B132" s="22"/>
      <c r="C132" s="23"/>
      <c r="G132" s="22"/>
      <c r="H132" s="31"/>
      <c r="I132" s="22"/>
      <c r="J132" s="31"/>
      <c r="K132" s="22"/>
      <c r="L132" s="31"/>
    </row>
    <row r="133">
      <c r="A133" s="21"/>
      <c r="B133" s="22"/>
      <c r="C133" s="23"/>
      <c r="G133" s="22"/>
      <c r="H133" s="31"/>
      <c r="I133" s="22"/>
      <c r="J133" s="31"/>
      <c r="K133" s="22"/>
      <c r="L133" s="31"/>
    </row>
    <row r="134">
      <c r="A134" s="21"/>
      <c r="B134" s="22"/>
      <c r="C134" s="23"/>
      <c r="G134" s="22"/>
      <c r="H134" s="31"/>
      <c r="I134" s="22"/>
      <c r="J134" s="31"/>
      <c r="K134" s="22"/>
      <c r="L134" s="31"/>
    </row>
    <row r="135">
      <c r="A135" s="21"/>
      <c r="B135" s="22"/>
      <c r="C135" s="23"/>
      <c r="G135" s="22"/>
      <c r="H135" s="31"/>
      <c r="I135" s="22"/>
      <c r="J135" s="31"/>
      <c r="K135" s="22"/>
      <c r="L135" s="31"/>
    </row>
    <row r="136">
      <c r="A136" s="21"/>
      <c r="B136" s="22"/>
      <c r="C136" s="23"/>
      <c r="G136" s="22"/>
      <c r="H136" s="31"/>
      <c r="I136" s="22"/>
      <c r="J136" s="31"/>
      <c r="K136" s="22"/>
      <c r="L136" s="31"/>
    </row>
    <row r="137">
      <c r="A137" s="21"/>
      <c r="B137" s="22"/>
      <c r="C137" s="23"/>
      <c r="G137" s="22"/>
      <c r="H137" s="31"/>
      <c r="I137" s="22"/>
      <c r="J137" s="31"/>
      <c r="K137" s="22"/>
      <c r="L137" s="31"/>
    </row>
    <row r="138">
      <c r="A138" s="21"/>
      <c r="B138" s="22"/>
      <c r="C138" s="23"/>
      <c r="G138" s="22"/>
      <c r="H138" s="31"/>
      <c r="I138" s="22"/>
      <c r="J138" s="31"/>
      <c r="K138" s="22"/>
      <c r="L138" s="31"/>
    </row>
    <row r="139">
      <c r="A139" s="21"/>
      <c r="B139" s="22"/>
      <c r="C139" s="23"/>
      <c r="G139" s="22"/>
      <c r="H139" s="31"/>
      <c r="I139" s="22"/>
      <c r="J139" s="31"/>
      <c r="K139" s="22"/>
      <c r="L139" s="31"/>
    </row>
    <row r="140">
      <c r="A140" s="21"/>
      <c r="B140" s="22"/>
      <c r="C140" s="23"/>
      <c r="G140" s="22"/>
      <c r="H140" s="31"/>
      <c r="I140" s="22"/>
      <c r="J140" s="31"/>
      <c r="K140" s="22"/>
      <c r="L140" s="31"/>
    </row>
    <row r="141">
      <c r="A141" s="21"/>
      <c r="B141" s="22"/>
      <c r="C141" s="23"/>
      <c r="G141" s="22"/>
      <c r="H141" s="31"/>
      <c r="I141" s="22"/>
      <c r="J141" s="31"/>
      <c r="K141" s="22"/>
      <c r="L141" s="31"/>
    </row>
    <row r="142">
      <c r="A142" s="21"/>
      <c r="B142" s="22"/>
      <c r="C142" s="23"/>
      <c r="G142" s="22"/>
      <c r="H142" s="31"/>
      <c r="I142" s="22"/>
      <c r="J142" s="31"/>
      <c r="K142" s="22"/>
      <c r="L142" s="31"/>
    </row>
    <row r="143">
      <c r="A143" s="21"/>
      <c r="B143" s="22"/>
      <c r="C143" s="23"/>
      <c r="G143" s="22"/>
      <c r="H143" s="31"/>
      <c r="I143" s="22"/>
      <c r="J143" s="31"/>
      <c r="K143" s="22"/>
      <c r="L143" s="31"/>
    </row>
    <row r="144">
      <c r="A144" s="21"/>
      <c r="B144" s="22"/>
      <c r="C144" s="23"/>
      <c r="G144" s="22"/>
      <c r="H144" s="31"/>
      <c r="I144" s="22"/>
      <c r="J144" s="31"/>
      <c r="K144" s="22"/>
      <c r="L144" s="31"/>
    </row>
    <row r="145">
      <c r="A145" s="21"/>
      <c r="B145" s="22"/>
      <c r="C145" s="23"/>
      <c r="G145" s="22"/>
      <c r="H145" s="31"/>
      <c r="I145" s="22"/>
      <c r="J145" s="31"/>
      <c r="K145" s="22"/>
      <c r="L145" s="31"/>
    </row>
    <row r="146">
      <c r="A146" s="21"/>
      <c r="B146" s="22"/>
      <c r="C146" s="23"/>
      <c r="G146" s="22"/>
      <c r="H146" s="31"/>
      <c r="I146" s="22"/>
      <c r="J146" s="31"/>
      <c r="K146" s="22"/>
      <c r="L146" s="31"/>
    </row>
    <row r="147">
      <c r="A147" s="21"/>
      <c r="B147" s="22"/>
      <c r="C147" s="23"/>
      <c r="G147" s="22"/>
      <c r="H147" s="31"/>
      <c r="I147" s="22"/>
      <c r="J147" s="31"/>
      <c r="K147" s="22"/>
      <c r="L147" s="31"/>
    </row>
    <row r="148">
      <c r="A148" s="21"/>
      <c r="B148" s="22"/>
      <c r="C148" s="23"/>
      <c r="G148" s="22"/>
      <c r="H148" s="31"/>
      <c r="I148" s="22"/>
      <c r="J148" s="31"/>
      <c r="K148" s="22"/>
      <c r="L148" s="31"/>
    </row>
    <row r="149">
      <c r="A149" s="21"/>
      <c r="B149" s="22"/>
      <c r="C149" s="23"/>
      <c r="G149" s="22"/>
      <c r="H149" s="31"/>
      <c r="I149" s="22"/>
      <c r="J149" s="31"/>
      <c r="K149" s="22"/>
      <c r="L149" s="31"/>
    </row>
    <row r="150">
      <c r="A150" s="21"/>
      <c r="B150" s="22"/>
      <c r="C150" s="23"/>
      <c r="G150" s="22"/>
      <c r="H150" s="31"/>
      <c r="I150" s="22"/>
      <c r="J150" s="31"/>
      <c r="K150" s="22"/>
      <c r="L150" s="31"/>
    </row>
  </sheetData>
  <mergeCells count="6">
    <mergeCell ref="A1:B1"/>
    <mergeCell ref="A3:B3"/>
    <mergeCell ref="F3:G3"/>
    <mergeCell ref="G6:L6"/>
    <mergeCell ref="G7:L7"/>
    <mergeCell ref="G8:L8"/>
  </mergeCells>
  <dataValidations>
    <dataValidation type="list" allowBlank="1" showErrorMessage="1" sqref="H4">
      <formula1>'Valve Sheet'!$A$2:$A1002</formula1>
    </dataValidation>
  </dataValidations>
  <hyperlinks>
    <hyperlink r:id="rId1" ref="A1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5"/>
    <col customWidth="1" min="3" max="3" width="46.0"/>
    <col customWidth="1" min="4" max="4" width="34.5"/>
  </cols>
  <sheetData>
    <row r="1">
      <c r="A1" s="32" t="s">
        <v>11</v>
      </c>
      <c r="B1" s="33" t="s">
        <v>16</v>
      </c>
      <c r="C1" s="32" t="s">
        <v>17</v>
      </c>
      <c r="D1" s="32" t="s">
        <v>18</v>
      </c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</row>
    <row r="2">
      <c r="A2" s="32" t="s">
        <v>19</v>
      </c>
      <c r="B2" s="33">
        <v>123.0</v>
      </c>
      <c r="C2" s="32" t="s">
        <v>20</v>
      </c>
      <c r="D2" s="35" t="s">
        <v>21</v>
      </c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</row>
    <row r="3">
      <c r="A3" s="32" t="s">
        <v>22</v>
      </c>
      <c r="B3" s="33">
        <v>117.0</v>
      </c>
      <c r="C3" s="32" t="s">
        <v>23</v>
      </c>
      <c r="D3" s="35" t="s">
        <v>21</v>
      </c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</row>
    <row r="4">
      <c r="A4" s="32" t="s">
        <v>24</v>
      </c>
      <c r="B4" s="33">
        <v>525.0</v>
      </c>
      <c r="C4" s="32" t="s">
        <v>25</v>
      </c>
      <c r="D4" s="35" t="s">
        <v>21</v>
      </c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</row>
    <row r="5">
      <c r="A5" s="32" t="s">
        <v>26</v>
      </c>
      <c r="B5" s="33">
        <v>523.0</v>
      </c>
      <c r="C5" s="32" t="s">
        <v>27</v>
      </c>
      <c r="D5" s="35" t="s">
        <v>21</v>
      </c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</row>
    <row r="6">
      <c r="A6" s="32" t="s">
        <v>28</v>
      </c>
      <c r="B6" s="33">
        <v>521.0</v>
      </c>
      <c r="C6" s="32" t="s">
        <v>29</v>
      </c>
      <c r="D6" s="35" t="s">
        <v>21</v>
      </c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</row>
    <row r="7">
      <c r="A7" s="32" t="s">
        <v>30</v>
      </c>
      <c r="B7" s="33">
        <v>529.0</v>
      </c>
      <c r="C7" s="32" t="s">
        <v>31</v>
      </c>
      <c r="D7" s="36" t="s">
        <v>32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</row>
    <row r="8">
      <c r="A8" s="32" t="s">
        <v>33</v>
      </c>
      <c r="B8" s="37">
        <v>529.0</v>
      </c>
      <c r="C8" s="32" t="s">
        <v>34</v>
      </c>
      <c r="D8" s="35" t="s">
        <v>21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</row>
    <row r="9">
      <c r="A9" s="32" t="s">
        <v>6</v>
      </c>
      <c r="B9" s="37">
        <v>201.0</v>
      </c>
      <c r="C9" s="32" t="s">
        <v>35</v>
      </c>
      <c r="D9" s="35" t="s">
        <v>21</v>
      </c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</row>
    <row r="10">
      <c r="A10" s="32" t="s">
        <v>36</v>
      </c>
      <c r="B10" s="37">
        <v>815.0</v>
      </c>
      <c r="C10" s="32" t="s">
        <v>37</v>
      </c>
      <c r="D10" s="35" t="s">
        <v>21</v>
      </c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</row>
    <row r="11">
      <c r="A11" s="32" t="s">
        <v>38</v>
      </c>
      <c r="B11" s="37">
        <v>819.0</v>
      </c>
      <c r="C11" s="32" t="s">
        <v>39</v>
      </c>
      <c r="D11" s="35" t="s">
        <v>21</v>
      </c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</row>
    <row r="12">
      <c r="A12" s="32" t="s">
        <v>40</v>
      </c>
      <c r="B12" s="37" t="s">
        <v>41</v>
      </c>
      <c r="C12" s="32" t="s">
        <v>42</v>
      </c>
      <c r="D12" s="35" t="s">
        <v>21</v>
      </c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</row>
    <row r="13">
      <c r="A13" s="32" t="s">
        <v>43</v>
      </c>
      <c r="B13" s="37">
        <v>402.0</v>
      </c>
      <c r="C13" s="32" t="s">
        <v>44</v>
      </c>
      <c r="D13" s="35" t="s">
        <v>21</v>
      </c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</row>
    <row r="14">
      <c r="A14" s="32" t="s">
        <v>45</v>
      </c>
      <c r="B14" s="37">
        <v>402.0</v>
      </c>
      <c r="C14" s="32" t="s">
        <v>46</v>
      </c>
      <c r="D14" s="35" t="s">
        <v>21</v>
      </c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</row>
    <row r="15">
      <c r="A15" s="32" t="s">
        <v>47</v>
      </c>
      <c r="B15" s="37">
        <v>514.0</v>
      </c>
      <c r="C15" s="32" t="s">
        <v>48</v>
      </c>
      <c r="D15" s="35" t="s">
        <v>21</v>
      </c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</row>
    <row r="16">
      <c r="A16" s="32" t="s">
        <v>49</v>
      </c>
      <c r="B16" s="37">
        <v>701.0</v>
      </c>
      <c r="C16" s="32" t="s">
        <v>50</v>
      </c>
      <c r="D16" s="35" t="s">
        <v>21</v>
      </c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</row>
    <row r="17">
      <c r="A17" s="32" t="s">
        <v>51</v>
      </c>
      <c r="B17" s="37">
        <v>801.0</v>
      </c>
      <c r="C17" s="32" t="s">
        <v>52</v>
      </c>
      <c r="D17" s="35" t="s">
        <v>21</v>
      </c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</row>
    <row r="18">
      <c r="A18" s="32" t="s">
        <v>53</v>
      </c>
      <c r="B18" s="37">
        <v>611.0</v>
      </c>
      <c r="C18" s="32" t="s">
        <v>54</v>
      </c>
      <c r="D18" s="35" t="s">
        <v>21</v>
      </c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</row>
    <row r="19">
      <c r="A19" s="32" t="s">
        <v>55</v>
      </c>
      <c r="B19" s="37">
        <v>611.0</v>
      </c>
      <c r="C19" s="32" t="s">
        <v>56</v>
      </c>
      <c r="D19" s="36" t="s">
        <v>32</v>
      </c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</row>
    <row r="20">
      <c r="A20" s="32" t="s">
        <v>57</v>
      </c>
      <c r="B20" s="37">
        <v>614.0</v>
      </c>
      <c r="C20" s="32" t="s">
        <v>58</v>
      </c>
      <c r="D20" s="35" t="s">
        <v>21</v>
      </c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</row>
    <row r="21">
      <c r="A21" s="32" t="s">
        <v>59</v>
      </c>
      <c r="B21" s="37">
        <v>616.0</v>
      </c>
      <c r="C21" s="32" t="s">
        <v>60</v>
      </c>
      <c r="D21" s="35" t="s">
        <v>21</v>
      </c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</row>
    <row r="22">
      <c r="A22" s="32" t="s">
        <v>61</v>
      </c>
      <c r="B22" s="37">
        <v>640.0</v>
      </c>
      <c r="C22" s="32" t="s">
        <v>62</v>
      </c>
      <c r="D22" s="36" t="s">
        <v>32</v>
      </c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</row>
    <row r="23">
      <c r="A23" s="32" t="s">
        <v>63</v>
      </c>
      <c r="B23" s="37">
        <v>637.0</v>
      </c>
      <c r="C23" s="32" t="s">
        <v>64</v>
      </c>
      <c r="D23" s="35" t="s">
        <v>21</v>
      </c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</row>
    <row r="24">
      <c r="A24" s="32" t="s">
        <v>65</v>
      </c>
      <c r="B24" s="37" t="s">
        <v>66</v>
      </c>
      <c r="C24" s="32" t="s">
        <v>67</v>
      </c>
      <c r="D24" s="35" t="s">
        <v>21</v>
      </c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</row>
    <row r="25">
      <c r="A25" s="32" t="s">
        <v>68</v>
      </c>
      <c r="B25" s="37" t="s">
        <v>66</v>
      </c>
      <c r="C25" s="32" t="s">
        <v>67</v>
      </c>
      <c r="D25" s="36" t="s">
        <v>21</v>
      </c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</row>
    <row r="26">
      <c r="A26" s="32" t="s">
        <v>69</v>
      </c>
      <c r="B26" s="37" t="s">
        <v>66</v>
      </c>
      <c r="C26" s="32" t="s">
        <v>70</v>
      </c>
      <c r="D26" s="36" t="s">
        <v>32</v>
      </c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</row>
    <row r="27">
      <c r="A27" s="32" t="s">
        <v>71</v>
      </c>
      <c r="B27" s="37">
        <v>501.0</v>
      </c>
      <c r="C27" s="32" t="s">
        <v>72</v>
      </c>
      <c r="D27" s="35" t="s">
        <v>21</v>
      </c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</row>
    <row r="28">
      <c r="A28" s="32" t="s">
        <v>73</v>
      </c>
      <c r="B28" s="37">
        <v>525.0</v>
      </c>
      <c r="C28" s="32" t="s">
        <v>74</v>
      </c>
      <c r="D28" s="36" t="s">
        <v>32</v>
      </c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</row>
    <row r="29">
      <c r="A29" s="32" t="s">
        <v>75</v>
      </c>
      <c r="B29" s="37" t="s">
        <v>41</v>
      </c>
      <c r="C29" s="32" t="s">
        <v>76</v>
      </c>
      <c r="D29" s="35" t="s">
        <v>21</v>
      </c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</row>
    <row r="30">
      <c r="A30" s="32" t="s">
        <v>77</v>
      </c>
      <c r="B30" s="37" t="s">
        <v>78</v>
      </c>
      <c r="C30" s="32" t="s">
        <v>79</v>
      </c>
      <c r="D30" s="35" t="s">
        <v>32</v>
      </c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</row>
    <row r="31">
      <c r="A31" s="32" t="s">
        <v>80</v>
      </c>
      <c r="B31" s="37">
        <v>217.0</v>
      </c>
      <c r="C31" s="32" t="s">
        <v>81</v>
      </c>
      <c r="D31" s="35" t="s">
        <v>21</v>
      </c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</row>
    <row r="32">
      <c r="A32" s="32" t="s">
        <v>82</v>
      </c>
      <c r="B32" s="37">
        <v>428.0</v>
      </c>
      <c r="C32" s="32" t="s">
        <v>83</v>
      </c>
      <c r="D32" s="35" t="s">
        <v>21</v>
      </c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</row>
    <row r="33">
      <c r="A33" s="32" t="s">
        <v>84</v>
      </c>
      <c r="B33" s="38" t="s">
        <v>85</v>
      </c>
      <c r="C33" s="32" t="s">
        <v>86</v>
      </c>
      <c r="D33" s="35" t="s">
        <v>32</v>
      </c>
      <c r="E33" s="32" t="s">
        <v>87</v>
      </c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</row>
    <row r="34">
      <c r="A34" s="32" t="s">
        <v>88</v>
      </c>
      <c r="B34" s="39" t="s">
        <v>85</v>
      </c>
      <c r="C34" s="32" t="s">
        <v>89</v>
      </c>
      <c r="D34" s="35" t="s">
        <v>32</v>
      </c>
      <c r="E34" s="32" t="s">
        <v>87</v>
      </c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</row>
    <row r="35">
      <c r="A35" s="32" t="s">
        <v>90</v>
      </c>
      <c r="B35" s="33" t="s">
        <v>91</v>
      </c>
      <c r="C35" s="32" t="s">
        <v>92</v>
      </c>
      <c r="D35" s="35" t="s">
        <v>21</v>
      </c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</row>
    <row r="36">
      <c r="A36" s="34"/>
      <c r="B36" s="40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</row>
    <row r="37">
      <c r="A37" s="34"/>
      <c r="B37" s="40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</row>
    <row r="38">
      <c r="A38" s="34"/>
      <c r="B38" s="40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</row>
    <row r="39">
      <c r="A39" s="34"/>
      <c r="B39" s="40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</row>
    <row r="40">
      <c r="A40" s="34"/>
      <c r="B40" s="40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</row>
    <row r="41">
      <c r="A41" s="34"/>
      <c r="B41" s="40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</row>
    <row r="42">
      <c r="A42" s="34"/>
      <c r="B42" s="40"/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</row>
    <row r="43">
      <c r="A43" s="34"/>
      <c r="B43" s="40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</row>
    <row r="44">
      <c r="A44" s="34"/>
      <c r="B44" s="40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</row>
    <row r="45">
      <c r="A45" s="34"/>
      <c r="B45" s="40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</row>
    <row r="46">
      <c r="A46" s="34"/>
      <c r="B46" s="40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</row>
    <row r="47">
      <c r="A47" s="34"/>
      <c r="B47" s="40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</row>
    <row r="48">
      <c r="A48" s="34"/>
      <c r="B48" s="40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</row>
    <row r="49">
      <c r="A49" s="34"/>
      <c r="B49" s="40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</row>
    <row r="50">
      <c r="A50" s="34"/>
      <c r="B50" s="40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</row>
    <row r="51">
      <c r="A51" s="34"/>
      <c r="B51" s="40"/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</row>
    <row r="52">
      <c r="A52" s="34"/>
      <c r="B52" s="40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</row>
    <row r="53">
      <c r="A53" s="34"/>
      <c r="B53" s="40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</row>
    <row r="54">
      <c r="A54" s="34"/>
      <c r="B54" s="40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</row>
    <row r="55">
      <c r="A55" s="34"/>
      <c r="B55" s="40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</row>
    <row r="56">
      <c r="A56" s="34"/>
      <c r="B56" s="40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</row>
    <row r="57">
      <c r="A57" s="34"/>
      <c r="B57" s="40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</row>
    <row r="58">
      <c r="A58" s="34"/>
      <c r="B58" s="40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</row>
    <row r="59">
      <c r="A59" s="34"/>
      <c r="B59" s="40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</row>
    <row r="60">
      <c r="A60" s="34"/>
      <c r="B60" s="40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</row>
    <row r="61">
      <c r="A61" s="34"/>
      <c r="B61" s="40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</row>
    <row r="62">
      <c r="A62" s="34"/>
      <c r="B62" s="40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</row>
    <row r="63">
      <c r="A63" s="34"/>
      <c r="B63" s="40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</row>
    <row r="64">
      <c r="A64" s="34"/>
      <c r="B64" s="40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</row>
    <row r="65">
      <c r="A65" s="34"/>
      <c r="B65" s="40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</row>
    <row r="66">
      <c r="A66" s="34"/>
      <c r="B66" s="40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</row>
    <row r="67">
      <c r="A67" s="34"/>
      <c r="B67" s="40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</row>
    <row r="68">
      <c r="A68" s="34"/>
      <c r="B68" s="40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</row>
    <row r="69">
      <c r="A69" s="34"/>
      <c r="B69" s="40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</row>
    <row r="70">
      <c r="A70" s="34"/>
      <c r="B70" s="40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</row>
    <row r="71">
      <c r="A71" s="34"/>
      <c r="B71" s="40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</row>
    <row r="72">
      <c r="A72" s="34"/>
      <c r="B72" s="40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</row>
    <row r="73">
      <c r="A73" s="34"/>
      <c r="B73" s="40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</row>
    <row r="74">
      <c r="A74" s="34"/>
      <c r="B74" s="40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</row>
    <row r="75">
      <c r="A75" s="34"/>
      <c r="B75" s="40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</row>
    <row r="76">
      <c r="A76" s="34"/>
      <c r="B76" s="40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</row>
    <row r="77">
      <c r="A77" s="34"/>
      <c r="B77" s="40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</row>
    <row r="78">
      <c r="A78" s="34"/>
      <c r="B78" s="40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</row>
    <row r="79">
      <c r="A79" s="34"/>
      <c r="B79" s="40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</row>
    <row r="80">
      <c r="A80" s="34"/>
      <c r="B80" s="40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</row>
    <row r="81">
      <c r="A81" s="34"/>
      <c r="B81" s="40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</row>
    <row r="82">
      <c r="A82" s="34"/>
      <c r="B82" s="40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</row>
    <row r="83">
      <c r="A83" s="34"/>
      <c r="B83" s="40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</row>
    <row r="84">
      <c r="A84" s="34"/>
      <c r="B84" s="40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</row>
    <row r="85">
      <c r="A85" s="34"/>
      <c r="B85" s="40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</row>
    <row r="86">
      <c r="A86" s="34"/>
      <c r="B86" s="40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</row>
    <row r="87">
      <c r="A87" s="34"/>
      <c r="B87" s="40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</row>
    <row r="88">
      <c r="A88" s="34"/>
      <c r="B88" s="40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</row>
    <row r="89">
      <c r="A89" s="34"/>
      <c r="B89" s="40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</row>
    <row r="90">
      <c r="A90" s="34"/>
      <c r="B90" s="40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</row>
    <row r="91">
      <c r="A91" s="34"/>
      <c r="B91" s="40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</row>
    <row r="92">
      <c r="A92" s="34"/>
      <c r="B92" s="40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</row>
    <row r="93">
      <c r="A93" s="34"/>
      <c r="B93" s="40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</row>
    <row r="94">
      <c r="A94" s="34"/>
      <c r="B94" s="40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</row>
    <row r="95">
      <c r="A95" s="34"/>
      <c r="B95" s="40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</row>
    <row r="96">
      <c r="A96" s="34"/>
      <c r="B96" s="40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</row>
    <row r="97">
      <c r="A97" s="34"/>
      <c r="B97" s="40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</row>
    <row r="98">
      <c r="A98" s="34"/>
      <c r="B98" s="40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</row>
    <row r="99">
      <c r="A99" s="34"/>
      <c r="B99" s="40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</row>
    <row r="100">
      <c r="A100" s="34"/>
      <c r="B100" s="40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</row>
    <row r="101">
      <c r="A101" s="34"/>
      <c r="B101" s="40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</row>
    <row r="102">
      <c r="A102" s="34"/>
      <c r="B102" s="40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</row>
    <row r="103">
      <c r="A103" s="34"/>
      <c r="B103" s="40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</row>
    <row r="104">
      <c r="A104" s="34"/>
      <c r="B104" s="40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</row>
    <row r="105">
      <c r="A105" s="34"/>
      <c r="B105" s="40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</row>
    <row r="106">
      <c r="A106" s="34"/>
      <c r="B106" s="40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</row>
    <row r="107">
      <c r="A107" s="34"/>
      <c r="B107" s="40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</row>
    <row r="108">
      <c r="A108" s="34"/>
      <c r="B108" s="40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</row>
    <row r="109">
      <c r="A109" s="34"/>
      <c r="B109" s="40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</row>
    <row r="110">
      <c r="A110" s="34"/>
      <c r="B110" s="40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</row>
    <row r="111">
      <c r="A111" s="34"/>
      <c r="B111" s="40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</row>
    <row r="112">
      <c r="A112" s="34"/>
      <c r="B112" s="40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</row>
    <row r="113">
      <c r="A113" s="34"/>
      <c r="B113" s="40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</row>
    <row r="114">
      <c r="A114" s="34"/>
      <c r="B114" s="40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</row>
    <row r="115">
      <c r="A115" s="34"/>
      <c r="B115" s="40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</row>
    <row r="116">
      <c r="A116" s="34"/>
      <c r="B116" s="40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</row>
    <row r="117">
      <c r="A117" s="34"/>
      <c r="B117" s="40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</row>
    <row r="118">
      <c r="A118" s="34"/>
      <c r="B118" s="40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</row>
    <row r="119">
      <c r="A119" s="34"/>
      <c r="B119" s="40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</row>
    <row r="120">
      <c r="A120" s="34"/>
      <c r="B120" s="40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</row>
    <row r="121">
      <c r="A121" s="34"/>
      <c r="B121" s="40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</row>
    <row r="122">
      <c r="A122" s="34"/>
      <c r="B122" s="40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</row>
    <row r="123">
      <c r="A123" s="34"/>
      <c r="B123" s="40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</row>
    <row r="124">
      <c r="A124" s="34"/>
      <c r="B124" s="40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</row>
    <row r="125">
      <c r="A125" s="34"/>
      <c r="B125" s="40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</row>
    <row r="126">
      <c r="A126" s="34"/>
      <c r="B126" s="40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</row>
    <row r="127">
      <c r="A127" s="34"/>
      <c r="B127" s="40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</row>
    <row r="128">
      <c r="A128" s="34"/>
      <c r="B128" s="40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</row>
    <row r="129">
      <c r="A129" s="34"/>
      <c r="B129" s="40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</row>
    <row r="130">
      <c r="A130" s="34"/>
      <c r="B130" s="40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</row>
    <row r="131">
      <c r="A131" s="34"/>
      <c r="B131" s="40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</row>
    <row r="132">
      <c r="A132" s="34"/>
      <c r="B132" s="40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</row>
    <row r="133">
      <c r="A133" s="34"/>
      <c r="B133" s="40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</row>
    <row r="134">
      <c r="A134" s="34"/>
      <c r="B134" s="40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</row>
    <row r="135">
      <c r="A135" s="34"/>
      <c r="B135" s="40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</row>
    <row r="136">
      <c r="A136" s="34"/>
      <c r="B136" s="40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</row>
    <row r="137">
      <c r="A137" s="34"/>
      <c r="B137" s="40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</row>
    <row r="138">
      <c r="A138" s="34"/>
      <c r="B138" s="40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</row>
    <row r="139">
      <c r="A139" s="34"/>
      <c r="B139" s="40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</row>
    <row r="140">
      <c r="A140" s="34"/>
      <c r="B140" s="40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</row>
    <row r="141">
      <c r="A141" s="34"/>
      <c r="B141" s="40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</row>
    <row r="142">
      <c r="A142" s="34"/>
      <c r="B142" s="40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</row>
    <row r="143">
      <c r="A143" s="34"/>
      <c r="B143" s="40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</row>
    <row r="144">
      <c r="A144" s="34"/>
      <c r="B144" s="40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</row>
    <row r="145">
      <c r="A145" s="34"/>
      <c r="B145" s="40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</row>
    <row r="146">
      <c r="A146" s="34"/>
      <c r="B146" s="40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</row>
    <row r="147">
      <c r="A147" s="34"/>
      <c r="B147" s="40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</row>
    <row r="148">
      <c r="A148" s="34"/>
      <c r="B148" s="40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</row>
    <row r="149">
      <c r="A149" s="34"/>
      <c r="B149" s="40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</row>
    <row r="150">
      <c r="A150" s="34"/>
      <c r="B150" s="40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</row>
    <row r="151">
      <c r="A151" s="34"/>
      <c r="B151" s="40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</row>
    <row r="152">
      <c r="A152" s="34"/>
      <c r="B152" s="40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</row>
    <row r="153">
      <c r="A153" s="34"/>
      <c r="B153" s="40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</row>
    <row r="154">
      <c r="A154" s="34"/>
      <c r="B154" s="40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</row>
    <row r="155">
      <c r="A155" s="34"/>
      <c r="B155" s="40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</row>
    <row r="156">
      <c r="A156" s="34"/>
      <c r="B156" s="40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</row>
    <row r="157">
      <c r="A157" s="34"/>
      <c r="B157" s="40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</row>
    <row r="158">
      <c r="A158" s="34"/>
      <c r="B158" s="40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</row>
    <row r="159">
      <c r="A159" s="34"/>
      <c r="B159" s="40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</row>
    <row r="160">
      <c r="A160" s="34"/>
      <c r="B160" s="40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</row>
    <row r="161">
      <c r="A161" s="34"/>
      <c r="B161" s="40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</row>
    <row r="162">
      <c r="A162" s="34"/>
      <c r="B162" s="40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</row>
    <row r="163">
      <c r="A163" s="34"/>
      <c r="B163" s="40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</row>
    <row r="164">
      <c r="A164" s="34"/>
      <c r="B164" s="40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</row>
    <row r="165">
      <c r="A165" s="34"/>
      <c r="B165" s="40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</row>
    <row r="166">
      <c r="A166" s="34"/>
      <c r="B166" s="40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</row>
    <row r="167">
      <c r="A167" s="34"/>
      <c r="B167" s="40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</row>
    <row r="168">
      <c r="A168" s="34"/>
      <c r="B168" s="40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</row>
    <row r="169">
      <c r="A169" s="34"/>
      <c r="B169" s="40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</row>
    <row r="170">
      <c r="A170" s="34"/>
      <c r="B170" s="40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</row>
    <row r="171">
      <c r="A171" s="34"/>
      <c r="B171" s="40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</row>
    <row r="172">
      <c r="A172" s="34"/>
      <c r="B172" s="40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</row>
    <row r="173">
      <c r="A173" s="34"/>
      <c r="B173" s="40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</row>
    <row r="174">
      <c r="A174" s="34"/>
      <c r="B174" s="40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</row>
    <row r="175">
      <c r="A175" s="34"/>
      <c r="B175" s="40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</row>
    <row r="176">
      <c r="A176" s="34"/>
      <c r="B176" s="40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</row>
    <row r="177">
      <c r="A177" s="34"/>
      <c r="B177" s="40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</row>
    <row r="178">
      <c r="A178" s="34"/>
      <c r="B178" s="40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</row>
    <row r="179">
      <c r="A179" s="34"/>
      <c r="B179" s="40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</row>
    <row r="180">
      <c r="A180" s="34"/>
      <c r="B180" s="40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</row>
    <row r="181">
      <c r="A181" s="34"/>
      <c r="B181" s="40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</row>
    <row r="182">
      <c r="A182" s="34"/>
      <c r="B182" s="40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</row>
    <row r="183">
      <c r="A183" s="34"/>
      <c r="B183" s="40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</row>
    <row r="184">
      <c r="A184" s="34"/>
      <c r="B184" s="40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</row>
    <row r="185">
      <c r="A185" s="34"/>
      <c r="B185" s="40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</row>
    <row r="186">
      <c r="A186" s="34"/>
      <c r="B186" s="40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</row>
    <row r="187">
      <c r="A187" s="34"/>
      <c r="B187" s="40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</row>
    <row r="188">
      <c r="A188" s="34"/>
      <c r="B188" s="40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</row>
    <row r="189">
      <c r="A189" s="34"/>
      <c r="B189" s="40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</row>
    <row r="190">
      <c r="A190" s="34"/>
      <c r="B190" s="40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</row>
    <row r="191">
      <c r="A191" s="34"/>
      <c r="B191" s="40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</row>
    <row r="192">
      <c r="A192" s="34"/>
      <c r="B192" s="40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</row>
    <row r="193">
      <c r="A193" s="34"/>
      <c r="B193" s="40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</row>
    <row r="194">
      <c r="A194" s="34"/>
      <c r="B194" s="40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</row>
    <row r="195">
      <c r="A195" s="34"/>
      <c r="B195" s="40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</row>
    <row r="196">
      <c r="A196" s="34"/>
      <c r="B196" s="40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</row>
    <row r="197">
      <c r="A197" s="34"/>
      <c r="B197" s="40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</row>
    <row r="198">
      <c r="A198" s="34"/>
      <c r="B198" s="40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</row>
    <row r="199">
      <c r="A199" s="34"/>
      <c r="B199" s="40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</row>
    <row r="200">
      <c r="A200" s="34"/>
      <c r="B200" s="40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</row>
    <row r="201">
      <c r="A201" s="34"/>
      <c r="B201" s="40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</row>
    <row r="202">
      <c r="A202" s="34"/>
      <c r="B202" s="40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</row>
    <row r="203">
      <c r="A203" s="34"/>
      <c r="B203" s="40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</row>
    <row r="204">
      <c r="A204" s="34"/>
      <c r="B204" s="40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</row>
    <row r="205">
      <c r="A205" s="34"/>
      <c r="B205" s="40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</row>
    <row r="206">
      <c r="A206" s="34"/>
      <c r="B206" s="40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</row>
    <row r="207">
      <c r="A207" s="34"/>
      <c r="B207" s="40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</row>
    <row r="208">
      <c r="A208" s="34"/>
      <c r="B208" s="40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</row>
    <row r="209">
      <c r="A209" s="34"/>
      <c r="B209" s="40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</row>
    <row r="210">
      <c r="A210" s="34"/>
      <c r="B210" s="40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</row>
    <row r="211">
      <c r="A211" s="34"/>
      <c r="B211" s="40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</row>
    <row r="212">
      <c r="A212" s="34"/>
      <c r="B212" s="40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</row>
    <row r="213">
      <c r="A213" s="34"/>
      <c r="B213" s="40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</row>
    <row r="214">
      <c r="A214" s="34"/>
      <c r="B214" s="40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</row>
    <row r="215">
      <c r="A215" s="34"/>
      <c r="B215" s="40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</row>
    <row r="216">
      <c r="A216" s="34"/>
      <c r="B216" s="40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</row>
    <row r="217">
      <c r="A217" s="34"/>
      <c r="B217" s="40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</row>
    <row r="218">
      <c r="A218" s="34"/>
      <c r="B218" s="40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</row>
    <row r="219">
      <c r="A219" s="34"/>
      <c r="B219" s="40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</row>
    <row r="220">
      <c r="A220" s="34"/>
      <c r="B220" s="40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</row>
    <row r="221">
      <c r="A221" s="34"/>
      <c r="B221" s="40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</row>
    <row r="222">
      <c r="A222" s="34"/>
      <c r="B222" s="40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</row>
    <row r="223">
      <c r="A223" s="34"/>
      <c r="B223" s="40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</row>
    <row r="224">
      <c r="A224" s="34"/>
      <c r="B224" s="40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</row>
    <row r="225">
      <c r="A225" s="34"/>
      <c r="B225" s="40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</row>
    <row r="226">
      <c r="A226" s="34"/>
      <c r="B226" s="40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</row>
    <row r="227">
      <c r="A227" s="34"/>
      <c r="B227" s="40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</row>
    <row r="228">
      <c r="A228" s="34"/>
      <c r="B228" s="40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</row>
    <row r="229">
      <c r="A229" s="34"/>
      <c r="B229" s="40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</row>
    <row r="230">
      <c r="A230" s="34"/>
      <c r="B230" s="40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</row>
    <row r="231">
      <c r="A231" s="34"/>
      <c r="B231" s="40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</row>
    <row r="232">
      <c r="A232" s="34"/>
      <c r="B232" s="40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</row>
    <row r="233">
      <c r="A233" s="34"/>
      <c r="B233" s="40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</row>
    <row r="234">
      <c r="A234" s="34"/>
      <c r="B234" s="40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</row>
    <row r="235">
      <c r="A235" s="34"/>
      <c r="B235" s="40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</row>
    <row r="236">
      <c r="A236" s="34"/>
      <c r="B236" s="40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</row>
    <row r="237">
      <c r="A237" s="34"/>
      <c r="B237" s="40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</row>
    <row r="238">
      <c r="A238" s="34"/>
      <c r="B238" s="40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</row>
    <row r="239">
      <c r="A239" s="34"/>
      <c r="B239" s="40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</row>
    <row r="240">
      <c r="A240" s="34"/>
      <c r="B240" s="40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</row>
    <row r="241">
      <c r="A241" s="34"/>
      <c r="B241" s="40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</row>
    <row r="242">
      <c r="A242" s="34"/>
      <c r="B242" s="40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</row>
    <row r="243">
      <c r="A243" s="34"/>
      <c r="B243" s="40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</row>
    <row r="244">
      <c r="A244" s="34"/>
      <c r="B244" s="40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</row>
    <row r="245">
      <c r="A245" s="34"/>
      <c r="B245" s="40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</row>
    <row r="246">
      <c r="A246" s="34"/>
      <c r="B246" s="40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</row>
    <row r="247">
      <c r="A247" s="34"/>
      <c r="B247" s="40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</row>
    <row r="248">
      <c r="A248" s="34"/>
      <c r="B248" s="40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</row>
    <row r="249">
      <c r="A249" s="34"/>
      <c r="B249" s="40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</row>
    <row r="250">
      <c r="A250" s="34"/>
      <c r="B250" s="40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</row>
    <row r="251">
      <c r="A251" s="34"/>
      <c r="B251" s="40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</row>
    <row r="252">
      <c r="A252" s="34"/>
      <c r="B252" s="40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</row>
    <row r="253">
      <c r="A253" s="34"/>
      <c r="B253" s="40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</row>
    <row r="254">
      <c r="A254" s="34"/>
      <c r="B254" s="40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</row>
    <row r="255">
      <c r="A255" s="34"/>
      <c r="B255" s="40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</row>
    <row r="256">
      <c r="A256" s="34"/>
      <c r="B256" s="40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</row>
    <row r="257">
      <c r="A257" s="34"/>
      <c r="B257" s="40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</row>
    <row r="258">
      <c r="A258" s="34"/>
      <c r="B258" s="40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</row>
    <row r="259">
      <c r="A259" s="34"/>
      <c r="B259" s="40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</row>
    <row r="260">
      <c r="A260" s="34"/>
      <c r="B260" s="40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</row>
    <row r="261">
      <c r="A261" s="34"/>
      <c r="B261" s="40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</row>
    <row r="262">
      <c r="A262" s="34"/>
      <c r="B262" s="40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</row>
    <row r="263">
      <c r="A263" s="34"/>
      <c r="B263" s="40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</row>
    <row r="264">
      <c r="A264" s="34"/>
      <c r="B264" s="40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</row>
    <row r="265">
      <c r="A265" s="34"/>
      <c r="B265" s="40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</row>
    <row r="266">
      <c r="A266" s="34"/>
      <c r="B266" s="40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</row>
    <row r="267">
      <c r="A267" s="34"/>
      <c r="B267" s="40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</row>
    <row r="268">
      <c r="A268" s="34"/>
      <c r="B268" s="40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</row>
    <row r="269">
      <c r="A269" s="34"/>
      <c r="B269" s="40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</row>
    <row r="270">
      <c r="A270" s="34"/>
      <c r="B270" s="40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</row>
    <row r="271">
      <c r="A271" s="34"/>
      <c r="B271" s="40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</row>
    <row r="272">
      <c r="A272" s="34"/>
      <c r="B272" s="40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</row>
    <row r="273">
      <c r="A273" s="34"/>
      <c r="B273" s="40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</row>
    <row r="274">
      <c r="A274" s="34"/>
      <c r="B274" s="40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</row>
    <row r="275">
      <c r="A275" s="34"/>
      <c r="B275" s="40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</row>
    <row r="276">
      <c r="A276" s="34"/>
      <c r="B276" s="40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</row>
    <row r="277">
      <c r="A277" s="34"/>
      <c r="B277" s="40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</row>
    <row r="278">
      <c r="A278" s="34"/>
      <c r="B278" s="40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</row>
    <row r="279">
      <c r="A279" s="34"/>
      <c r="B279" s="40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</row>
    <row r="280">
      <c r="A280" s="34"/>
      <c r="B280" s="40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</row>
    <row r="281">
      <c r="A281" s="34"/>
      <c r="B281" s="40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</row>
    <row r="282">
      <c r="A282" s="34"/>
      <c r="B282" s="40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</row>
    <row r="283">
      <c r="A283" s="34"/>
      <c r="B283" s="40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</row>
    <row r="284">
      <c r="A284" s="34"/>
      <c r="B284" s="40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</row>
    <row r="285">
      <c r="A285" s="34"/>
      <c r="B285" s="40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</row>
    <row r="286">
      <c r="A286" s="34"/>
      <c r="B286" s="40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</row>
    <row r="287">
      <c r="A287" s="34"/>
      <c r="B287" s="40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</row>
    <row r="288">
      <c r="A288" s="34"/>
      <c r="B288" s="40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</row>
    <row r="289">
      <c r="A289" s="34"/>
      <c r="B289" s="40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</row>
    <row r="290">
      <c r="A290" s="34"/>
      <c r="B290" s="40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</row>
    <row r="291">
      <c r="A291" s="34"/>
      <c r="B291" s="40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</row>
    <row r="292">
      <c r="A292" s="34"/>
      <c r="B292" s="40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</row>
    <row r="293">
      <c r="A293" s="34"/>
      <c r="B293" s="40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</row>
    <row r="294">
      <c r="A294" s="34"/>
      <c r="B294" s="40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</row>
    <row r="295">
      <c r="A295" s="34"/>
      <c r="B295" s="40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</row>
    <row r="296">
      <c r="A296" s="34"/>
      <c r="B296" s="40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</row>
    <row r="297">
      <c r="A297" s="34"/>
      <c r="B297" s="40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</row>
    <row r="298">
      <c r="A298" s="34"/>
      <c r="B298" s="40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</row>
    <row r="299">
      <c r="A299" s="34"/>
      <c r="B299" s="40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</row>
    <row r="300">
      <c r="A300" s="34"/>
      <c r="B300" s="40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</row>
    <row r="301">
      <c r="A301" s="34"/>
      <c r="B301" s="40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</row>
    <row r="302">
      <c r="A302" s="34"/>
      <c r="B302" s="40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</row>
    <row r="303">
      <c r="A303" s="34"/>
      <c r="B303" s="40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</row>
    <row r="304">
      <c r="A304" s="34"/>
      <c r="B304" s="40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</row>
    <row r="305">
      <c r="A305" s="34"/>
      <c r="B305" s="40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</row>
    <row r="306">
      <c r="A306" s="34"/>
      <c r="B306" s="40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</row>
    <row r="307">
      <c r="A307" s="34"/>
      <c r="B307" s="40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</row>
    <row r="308">
      <c r="A308" s="34"/>
      <c r="B308" s="40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</row>
    <row r="309">
      <c r="A309" s="34"/>
      <c r="B309" s="40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</row>
    <row r="310">
      <c r="A310" s="34"/>
      <c r="B310" s="40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</row>
    <row r="311">
      <c r="A311" s="34"/>
      <c r="B311" s="40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</row>
    <row r="312">
      <c r="A312" s="34"/>
      <c r="B312" s="40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</row>
    <row r="313">
      <c r="A313" s="34"/>
      <c r="B313" s="40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</row>
    <row r="314">
      <c r="A314" s="34"/>
      <c r="B314" s="40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</row>
    <row r="315">
      <c r="A315" s="34"/>
      <c r="B315" s="40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</row>
    <row r="316">
      <c r="A316" s="34"/>
      <c r="B316" s="40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</row>
    <row r="317">
      <c r="A317" s="34"/>
      <c r="B317" s="40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</row>
    <row r="318">
      <c r="A318" s="34"/>
      <c r="B318" s="40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</row>
    <row r="319">
      <c r="A319" s="34"/>
      <c r="B319" s="40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</row>
    <row r="320">
      <c r="A320" s="34"/>
      <c r="B320" s="40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</row>
    <row r="321">
      <c r="A321" s="34"/>
      <c r="B321" s="40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</row>
    <row r="322">
      <c r="A322" s="34"/>
      <c r="B322" s="40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</row>
    <row r="323">
      <c r="A323" s="34"/>
      <c r="B323" s="40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</row>
    <row r="324">
      <c r="A324" s="34"/>
      <c r="B324" s="40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</row>
    <row r="325">
      <c r="A325" s="34"/>
      <c r="B325" s="40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</row>
    <row r="326">
      <c r="A326" s="34"/>
      <c r="B326" s="40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</row>
    <row r="327">
      <c r="A327" s="34"/>
      <c r="B327" s="40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</row>
    <row r="328">
      <c r="A328" s="34"/>
      <c r="B328" s="40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</row>
    <row r="329">
      <c r="A329" s="34"/>
      <c r="B329" s="40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</row>
    <row r="330">
      <c r="A330" s="34"/>
      <c r="B330" s="40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</row>
    <row r="331">
      <c r="A331" s="34"/>
      <c r="B331" s="40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</row>
    <row r="332">
      <c r="A332" s="34"/>
      <c r="B332" s="40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</row>
    <row r="333">
      <c r="A333" s="34"/>
      <c r="B333" s="40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</row>
    <row r="334">
      <c r="A334" s="34"/>
      <c r="B334" s="40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</row>
    <row r="335">
      <c r="A335" s="34"/>
      <c r="B335" s="40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</row>
    <row r="336">
      <c r="A336" s="34"/>
      <c r="B336" s="40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</row>
    <row r="337">
      <c r="A337" s="34"/>
      <c r="B337" s="40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</row>
    <row r="338">
      <c r="A338" s="34"/>
      <c r="B338" s="40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</row>
    <row r="339">
      <c r="A339" s="34"/>
      <c r="B339" s="40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</row>
    <row r="340">
      <c r="A340" s="34"/>
      <c r="B340" s="40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</row>
    <row r="341">
      <c r="A341" s="34"/>
      <c r="B341" s="40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</row>
    <row r="342">
      <c r="A342" s="34"/>
      <c r="B342" s="40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</row>
    <row r="343">
      <c r="A343" s="34"/>
      <c r="B343" s="40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</row>
    <row r="344">
      <c r="A344" s="34"/>
      <c r="B344" s="40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</row>
    <row r="345">
      <c r="A345" s="34"/>
      <c r="B345" s="40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</row>
    <row r="346">
      <c r="A346" s="34"/>
      <c r="B346" s="40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</row>
    <row r="347">
      <c r="A347" s="34"/>
      <c r="B347" s="40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</row>
    <row r="348">
      <c r="A348" s="34"/>
      <c r="B348" s="40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</row>
    <row r="349">
      <c r="A349" s="34"/>
      <c r="B349" s="40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</row>
    <row r="350">
      <c r="A350" s="34"/>
      <c r="B350" s="40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</row>
    <row r="351">
      <c r="A351" s="34"/>
      <c r="B351" s="40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</row>
    <row r="352">
      <c r="A352" s="34"/>
      <c r="B352" s="40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</row>
    <row r="353">
      <c r="A353" s="34"/>
      <c r="B353" s="40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</row>
    <row r="354">
      <c r="A354" s="34"/>
      <c r="B354" s="40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</row>
    <row r="355">
      <c r="A355" s="34"/>
      <c r="B355" s="40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</row>
    <row r="356">
      <c r="A356" s="34"/>
      <c r="B356" s="40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</row>
    <row r="357">
      <c r="A357" s="34"/>
      <c r="B357" s="40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</row>
    <row r="358">
      <c r="A358" s="34"/>
      <c r="B358" s="40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</row>
    <row r="359">
      <c r="A359" s="34"/>
      <c r="B359" s="40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</row>
    <row r="360">
      <c r="A360" s="34"/>
      <c r="B360" s="40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</row>
    <row r="361">
      <c r="A361" s="34"/>
      <c r="B361" s="40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</row>
    <row r="362">
      <c r="A362" s="34"/>
      <c r="B362" s="40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</row>
    <row r="363">
      <c r="A363" s="34"/>
      <c r="B363" s="40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</row>
    <row r="364">
      <c r="A364" s="34"/>
      <c r="B364" s="40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</row>
    <row r="365">
      <c r="A365" s="34"/>
      <c r="B365" s="40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</row>
    <row r="366">
      <c r="A366" s="34"/>
      <c r="B366" s="40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</row>
    <row r="367">
      <c r="A367" s="34"/>
      <c r="B367" s="40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</row>
    <row r="368">
      <c r="A368" s="34"/>
      <c r="B368" s="40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</row>
    <row r="369">
      <c r="A369" s="34"/>
      <c r="B369" s="40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</row>
    <row r="370">
      <c r="A370" s="34"/>
      <c r="B370" s="40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</row>
    <row r="371">
      <c r="A371" s="34"/>
      <c r="B371" s="40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</row>
    <row r="372">
      <c r="A372" s="34"/>
      <c r="B372" s="40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</row>
    <row r="373">
      <c r="A373" s="34"/>
      <c r="B373" s="40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</row>
    <row r="374">
      <c r="A374" s="34"/>
      <c r="B374" s="40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</row>
    <row r="375">
      <c r="A375" s="34"/>
      <c r="B375" s="40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</row>
    <row r="376">
      <c r="A376" s="34"/>
      <c r="B376" s="40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</row>
    <row r="377">
      <c r="A377" s="34"/>
      <c r="B377" s="40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</row>
    <row r="378">
      <c r="A378" s="34"/>
      <c r="B378" s="40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</row>
    <row r="379">
      <c r="A379" s="34"/>
      <c r="B379" s="40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</row>
    <row r="380">
      <c r="A380" s="34"/>
      <c r="B380" s="40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</row>
    <row r="381">
      <c r="A381" s="34"/>
      <c r="B381" s="40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</row>
    <row r="382">
      <c r="A382" s="34"/>
      <c r="B382" s="40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</row>
    <row r="383">
      <c r="A383" s="34"/>
      <c r="B383" s="40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</row>
    <row r="384">
      <c r="A384" s="34"/>
      <c r="B384" s="40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</row>
    <row r="385">
      <c r="A385" s="34"/>
      <c r="B385" s="40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</row>
    <row r="386">
      <c r="A386" s="34"/>
      <c r="B386" s="40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</row>
    <row r="387">
      <c r="A387" s="34"/>
      <c r="B387" s="40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</row>
    <row r="388">
      <c r="A388" s="34"/>
      <c r="B388" s="40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</row>
    <row r="389">
      <c r="A389" s="34"/>
      <c r="B389" s="40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</row>
    <row r="390">
      <c r="A390" s="34"/>
      <c r="B390" s="40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</row>
    <row r="391">
      <c r="A391" s="34"/>
      <c r="B391" s="40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</row>
    <row r="392">
      <c r="A392" s="34"/>
      <c r="B392" s="40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</row>
    <row r="393">
      <c r="A393" s="34"/>
      <c r="B393" s="40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</row>
    <row r="394">
      <c r="A394" s="34"/>
      <c r="B394" s="40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</row>
    <row r="395">
      <c r="A395" s="34"/>
      <c r="B395" s="40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</row>
    <row r="396">
      <c r="A396" s="34"/>
      <c r="B396" s="40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</row>
    <row r="397">
      <c r="A397" s="34"/>
      <c r="B397" s="40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</row>
    <row r="398">
      <c r="A398" s="34"/>
      <c r="B398" s="40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</row>
    <row r="399">
      <c r="A399" s="34"/>
      <c r="B399" s="40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</row>
    <row r="400">
      <c r="A400" s="34"/>
      <c r="B400" s="40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</row>
    <row r="401">
      <c r="A401" s="34"/>
      <c r="B401" s="40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</row>
    <row r="402">
      <c r="A402" s="34"/>
      <c r="B402" s="40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</row>
    <row r="403">
      <c r="A403" s="34"/>
      <c r="B403" s="40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</row>
    <row r="404">
      <c r="A404" s="34"/>
      <c r="B404" s="40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</row>
    <row r="405">
      <c r="A405" s="34"/>
      <c r="B405" s="40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</row>
    <row r="406">
      <c r="A406" s="34"/>
      <c r="B406" s="40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</row>
    <row r="407">
      <c r="A407" s="34"/>
      <c r="B407" s="40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</row>
    <row r="408">
      <c r="A408" s="34"/>
      <c r="B408" s="40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</row>
    <row r="409">
      <c r="A409" s="34"/>
      <c r="B409" s="40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</row>
    <row r="410">
      <c r="A410" s="34"/>
      <c r="B410" s="40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</row>
    <row r="411">
      <c r="A411" s="34"/>
      <c r="B411" s="40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</row>
    <row r="412">
      <c r="A412" s="34"/>
      <c r="B412" s="40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</row>
    <row r="413">
      <c r="A413" s="34"/>
      <c r="B413" s="40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</row>
    <row r="414">
      <c r="A414" s="34"/>
      <c r="B414" s="40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</row>
    <row r="415">
      <c r="A415" s="34"/>
      <c r="B415" s="40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</row>
    <row r="416">
      <c r="A416" s="34"/>
      <c r="B416" s="40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</row>
    <row r="417">
      <c r="A417" s="34"/>
      <c r="B417" s="40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</row>
    <row r="418">
      <c r="A418" s="34"/>
      <c r="B418" s="40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</row>
    <row r="419">
      <c r="A419" s="34"/>
      <c r="B419" s="40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</row>
    <row r="420">
      <c r="A420" s="34"/>
      <c r="B420" s="40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</row>
    <row r="421">
      <c r="A421" s="34"/>
      <c r="B421" s="40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</row>
    <row r="422">
      <c r="A422" s="34"/>
      <c r="B422" s="40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</row>
    <row r="423">
      <c r="A423" s="34"/>
      <c r="B423" s="40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</row>
    <row r="424">
      <c r="A424" s="34"/>
      <c r="B424" s="40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</row>
    <row r="425">
      <c r="A425" s="34"/>
      <c r="B425" s="40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</row>
    <row r="426">
      <c r="A426" s="34"/>
      <c r="B426" s="40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</row>
    <row r="427">
      <c r="A427" s="34"/>
      <c r="B427" s="40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</row>
    <row r="428">
      <c r="A428" s="34"/>
      <c r="B428" s="40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</row>
    <row r="429">
      <c r="A429" s="34"/>
      <c r="B429" s="40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</row>
    <row r="430">
      <c r="A430" s="34"/>
      <c r="B430" s="40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</row>
    <row r="431">
      <c r="A431" s="34"/>
      <c r="B431" s="40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</row>
    <row r="432">
      <c r="A432" s="34"/>
      <c r="B432" s="40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</row>
    <row r="433">
      <c r="A433" s="34"/>
      <c r="B433" s="40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</row>
    <row r="434">
      <c r="A434" s="34"/>
      <c r="B434" s="40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</row>
    <row r="435">
      <c r="A435" s="34"/>
      <c r="B435" s="40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</row>
    <row r="436">
      <c r="A436" s="34"/>
      <c r="B436" s="40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</row>
    <row r="437">
      <c r="A437" s="34"/>
      <c r="B437" s="40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</row>
    <row r="438">
      <c r="A438" s="34"/>
      <c r="B438" s="40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</row>
    <row r="439">
      <c r="A439" s="34"/>
      <c r="B439" s="40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</row>
    <row r="440">
      <c r="A440" s="34"/>
      <c r="B440" s="40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</row>
    <row r="441">
      <c r="A441" s="34"/>
      <c r="B441" s="40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</row>
    <row r="442">
      <c r="A442" s="34"/>
      <c r="B442" s="40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</row>
    <row r="443">
      <c r="A443" s="34"/>
      <c r="B443" s="40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</row>
    <row r="444">
      <c r="A444" s="34"/>
      <c r="B444" s="40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</row>
    <row r="445">
      <c r="A445" s="34"/>
      <c r="B445" s="40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</row>
    <row r="446">
      <c r="A446" s="34"/>
      <c r="B446" s="40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</row>
    <row r="447">
      <c r="A447" s="34"/>
      <c r="B447" s="40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</row>
    <row r="448">
      <c r="A448" s="34"/>
      <c r="B448" s="40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</row>
    <row r="449">
      <c r="A449" s="34"/>
      <c r="B449" s="40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</row>
    <row r="450">
      <c r="A450" s="34"/>
      <c r="B450" s="40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</row>
    <row r="451">
      <c r="A451" s="34"/>
      <c r="B451" s="40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</row>
    <row r="452">
      <c r="A452" s="34"/>
      <c r="B452" s="40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</row>
    <row r="453">
      <c r="A453" s="34"/>
      <c r="B453" s="40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</row>
    <row r="454">
      <c r="A454" s="34"/>
      <c r="B454" s="40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</row>
    <row r="455">
      <c r="A455" s="34"/>
      <c r="B455" s="40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</row>
    <row r="456">
      <c r="A456" s="34"/>
      <c r="B456" s="40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</row>
    <row r="457">
      <c r="A457" s="34"/>
      <c r="B457" s="40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</row>
    <row r="458">
      <c r="A458" s="34"/>
      <c r="B458" s="40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</row>
    <row r="459">
      <c r="A459" s="34"/>
      <c r="B459" s="40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</row>
    <row r="460">
      <c r="A460" s="34"/>
      <c r="B460" s="40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</row>
    <row r="461">
      <c r="A461" s="34"/>
      <c r="B461" s="40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</row>
    <row r="462">
      <c r="A462" s="34"/>
      <c r="B462" s="40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</row>
    <row r="463">
      <c r="A463" s="34"/>
      <c r="B463" s="40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</row>
    <row r="464">
      <c r="A464" s="34"/>
      <c r="B464" s="40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</row>
    <row r="465">
      <c r="A465" s="34"/>
      <c r="B465" s="40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</row>
    <row r="466">
      <c r="A466" s="34"/>
      <c r="B466" s="40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</row>
    <row r="467">
      <c r="A467" s="34"/>
      <c r="B467" s="40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</row>
    <row r="468">
      <c r="A468" s="34"/>
      <c r="B468" s="40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</row>
    <row r="469">
      <c r="A469" s="34"/>
      <c r="B469" s="40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</row>
    <row r="470">
      <c r="A470" s="34"/>
      <c r="B470" s="40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</row>
    <row r="471">
      <c r="A471" s="34"/>
      <c r="B471" s="40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</row>
    <row r="472">
      <c r="A472" s="34"/>
      <c r="B472" s="40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</row>
    <row r="473">
      <c r="A473" s="34"/>
      <c r="B473" s="40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</row>
    <row r="474">
      <c r="A474" s="34"/>
      <c r="B474" s="40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</row>
    <row r="475">
      <c r="A475" s="34"/>
      <c r="B475" s="40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</row>
    <row r="476">
      <c r="A476" s="34"/>
      <c r="B476" s="40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</row>
    <row r="477">
      <c r="A477" s="34"/>
      <c r="B477" s="40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</row>
    <row r="478">
      <c r="A478" s="34"/>
      <c r="B478" s="40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</row>
    <row r="479">
      <c r="A479" s="34"/>
      <c r="B479" s="40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</row>
    <row r="480">
      <c r="A480" s="34"/>
      <c r="B480" s="40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</row>
    <row r="481">
      <c r="A481" s="34"/>
      <c r="B481" s="40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</row>
    <row r="482">
      <c r="A482" s="34"/>
      <c r="B482" s="40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</row>
    <row r="483">
      <c r="A483" s="34"/>
      <c r="B483" s="40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</row>
    <row r="484">
      <c r="A484" s="34"/>
      <c r="B484" s="40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</row>
    <row r="485">
      <c r="A485" s="34"/>
      <c r="B485" s="40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</row>
    <row r="486">
      <c r="A486" s="34"/>
      <c r="B486" s="40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</row>
    <row r="487">
      <c r="A487" s="34"/>
      <c r="B487" s="40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</row>
    <row r="488">
      <c r="A488" s="34"/>
      <c r="B488" s="40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</row>
    <row r="489">
      <c r="A489" s="34"/>
      <c r="B489" s="40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</row>
    <row r="490">
      <c r="A490" s="34"/>
      <c r="B490" s="40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</row>
    <row r="491">
      <c r="A491" s="34"/>
      <c r="B491" s="40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</row>
    <row r="492">
      <c r="A492" s="34"/>
      <c r="B492" s="40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</row>
    <row r="493">
      <c r="A493" s="34"/>
      <c r="B493" s="40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</row>
    <row r="494">
      <c r="A494" s="34"/>
      <c r="B494" s="40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</row>
    <row r="495">
      <c r="A495" s="34"/>
      <c r="B495" s="40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</row>
    <row r="496">
      <c r="A496" s="34"/>
      <c r="B496" s="40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</row>
    <row r="497">
      <c r="A497" s="34"/>
      <c r="B497" s="40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</row>
    <row r="498">
      <c r="A498" s="34"/>
      <c r="B498" s="40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</row>
    <row r="499">
      <c r="A499" s="34"/>
      <c r="B499" s="40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</row>
    <row r="500">
      <c r="A500" s="34"/>
      <c r="B500" s="40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</row>
    <row r="501">
      <c r="A501" s="34"/>
      <c r="B501" s="40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</row>
    <row r="502">
      <c r="A502" s="34"/>
      <c r="B502" s="40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</row>
    <row r="503">
      <c r="A503" s="34"/>
      <c r="B503" s="40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</row>
    <row r="504">
      <c r="A504" s="34"/>
      <c r="B504" s="40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</row>
    <row r="505">
      <c r="A505" s="34"/>
      <c r="B505" s="40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</row>
    <row r="506">
      <c r="A506" s="34"/>
      <c r="B506" s="40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</row>
    <row r="507">
      <c r="A507" s="34"/>
      <c r="B507" s="40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</row>
    <row r="508">
      <c r="A508" s="34"/>
      <c r="B508" s="40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</row>
    <row r="509">
      <c r="A509" s="34"/>
      <c r="B509" s="40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</row>
    <row r="510">
      <c r="A510" s="34"/>
      <c r="B510" s="40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</row>
    <row r="511">
      <c r="A511" s="34"/>
      <c r="B511" s="40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</row>
    <row r="512">
      <c r="A512" s="34"/>
      <c r="B512" s="40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</row>
    <row r="513">
      <c r="A513" s="34"/>
      <c r="B513" s="40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</row>
    <row r="514">
      <c r="A514" s="34"/>
      <c r="B514" s="40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</row>
    <row r="515">
      <c r="A515" s="34"/>
      <c r="B515" s="40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</row>
    <row r="516">
      <c r="A516" s="34"/>
      <c r="B516" s="40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</row>
    <row r="517">
      <c r="A517" s="34"/>
      <c r="B517" s="40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</row>
    <row r="518">
      <c r="A518" s="34"/>
      <c r="B518" s="40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</row>
    <row r="519">
      <c r="A519" s="34"/>
      <c r="B519" s="40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</row>
    <row r="520">
      <c r="A520" s="34"/>
      <c r="B520" s="40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</row>
    <row r="521">
      <c r="A521" s="34"/>
      <c r="B521" s="40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</row>
    <row r="522">
      <c r="A522" s="34"/>
      <c r="B522" s="40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</row>
    <row r="523">
      <c r="A523" s="34"/>
      <c r="B523" s="40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</row>
    <row r="524">
      <c r="A524" s="34"/>
      <c r="B524" s="40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</row>
    <row r="525">
      <c r="A525" s="34"/>
      <c r="B525" s="40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</row>
    <row r="526">
      <c r="A526" s="34"/>
      <c r="B526" s="40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</row>
    <row r="527">
      <c r="A527" s="34"/>
      <c r="B527" s="40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</row>
    <row r="528">
      <c r="A528" s="34"/>
      <c r="B528" s="40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</row>
    <row r="529">
      <c r="A529" s="34"/>
      <c r="B529" s="40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</row>
    <row r="530">
      <c r="A530" s="34"/>
      <c r="B530" s="40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</row>
    <row r="531">
      <c r="A531" s="34"/>
      <c r="B531" s="40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</row>
    <row r="532">
      <c r="A532" s="34"/>
      <c r="B532" s="40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</row>
    <row r="533">
      <c r="A533" s="34"/>
      <c r="B533" s="40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</row>
    <row r="534">
      <c r="A534" s="34"/>
      <c r="B534" s="40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</row>
    <row r="535">
      <c r="A535" s="34"/>
      <c r="B535" s="40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</row>
    <row r="536">
      <c r="A536" s="34"/>
      <c r="B536" s="40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</row>
    <row r="537">
      <c r="A537" s="34"/>
      <c r="B537" s="40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</row>
    <row r="538">
      <c r="A538" s="34"/>
      <c r="B538" s="40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</row>
    <row r="539">
      <c r="A539" s="34"/>
      <c r="B539" s="40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</row>
    <row r="540">
      <c r="A540" s="34"/>
      <c r="B540" s="40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</row>
    <row r="541">
      <c r="A541" s="34"/>
      <c r="B541" s="40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</row>
    <row r="542">
      <c r="A542" s="34"/>
      <c r="B542" s="40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</row>
    <row r="543">
      <c r="A543" s="34"/>
      <c r="B543" s="40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</row>
    <row r="544">
      <c r="A544" s="34"/>
      <c r="B544" s="40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</row>
    <row r="545">
      <c r="A545" s="34"/>
      <c r="B545" s="40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</row>
    <row r="546">
      <c r="A546" s="34"/>
      <c r="B546" s="40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</row>
    <row r="547">
      <c r="A547" s="34"/>
      <c r="B547" s="40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</row>
    <row r="548">
      <c r="A548" s="34"/>
      <c r="B548" s="40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</row>
    <row r="549">
      <c r="A549" s="34"/>
      <c r="B549" s="40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</row>
    <row r="550">
      <c r="A550" s="34"/>
      <c r="B550" s="40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</row>
    <row r="551">
      <c r="A551" s="34"/>
      <c r="B551" s="40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</row>
    <row r="552">
      <c r="A552" s="34"/>
      <c r="B552" s="40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</row>
    <row r="553">
      <c r="A553" s="34"/>
      <c r="B553" s="40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</row>
    <row r="554">
      <c r="A554" s="34"/>
      <c r="B554" s="40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</row>
    <row r="555">
      <c r="A555" s="34"/>
      <c r="B555" s="40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</row>
    <row r="556">
      <c r="A556" s="34"/>
      <c r="B556" s="40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</row>
    <row r="557">
      <c r="A557" s="34"/>
      <c r="B557" s="40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</row>
    <row r="558">
      <c r="A558" s="34"/>
      <c r="B558" s="40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</row>
    <row r="559">
      <c r="A559" s="34"/>
      <c r="B559" s="40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</row>
    <row r="560">
      <c r="A560" s="34"/>
      <c r="B560" s="40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</row>
    <row r="561">
      <c r="A561" s="34"/>
      <c r="B561" s="40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</row>
    <row r="562">
      <c r="A562" s="34"/>
      <c r="B562" s="40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</row>
    <row r="563">
      <c r="A563" s="34"/>
      <c r="B563" s="40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</row>
    <row r="564">
      <c r="A564" s="34"/>
      <c r="B564" s="40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</row>
    <row r="565">
      <c r="A565" s="34"/>
      <c r="B565" s="40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</row>
    <row r="566">
      <c r="A566" s="34"/>
      <c r="B566" s="40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</row>
    <row r="567">
      <c r="A567" s="34"/>
      <c r="B567" s="40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</row>
    <row r="568">
      <c r="A568" s="34"/>
      <c r="B568" s="40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</row>
    <row r="569">
      <c r="A569" s="34"/>
      <c r="B569" s="40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</row>
    <row r="570">
      <c r="A570" s="34"/>
      <c r="B570" s="40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</row>
    <row r="571">
      <c r="A571" s="34"/>
      <c r="B571" s="40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</row>
    <row r="572">
      <c r="A572" s="34"/>
      <c r="B572" s="40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</row>
    <row r="573">
      <c r="A573" s="34"/>
      <c r="B573" s="40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</row>
    <row r="574">
      <c r="A574" s="34"/>
      <c r="B574" s="40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</row>
    <row r="575">
      <c r="A575" s="34"/>
      <c r="B575" s="40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</row>
    <row r="576">
      <c r="A576" s="34"/>
      <c r="B576" s="40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</row>
    <row r="577">
      <c r="A577" s="34"/>
      <c r="B577" s="40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</row>
    <row r="578">
      <c r="A578" s="34"/>
      <c r="B578" s="40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</row>
    <row r="579">
      <c r="A579" s="34"/>
      <c r="B579" s="40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</row>
    <row r="580">
      <c r="A580" s="34"/>
      <c r="B580" s="40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</row>
    <row r="581">
      <c r="A581" s="34"/>
      <c r="B581" s="40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</row>
    <row r="582">
      <c r="A582" s="34"/>
      <c r="B582" s="40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</row>
    <row r="583">
      <c r="A583" s="34"/>
      <c r="B583" s="40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</row>
    <row r="584">
      <c r="A584" s="34"/>
      <c r="B584" s="40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</row>
    <row r="585">
      <c r="A585" s="34"/>
      <c r="B585" s="40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</row>
    <row r="586">
      <c r="A586" s="34"/>
      <c r="B586" s="40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</row>
    <row r="587">
      <c r="A587" s="34"/>
      <c r="B587" s="40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</row>
    <row r="588">
      <c r="A588" s="34"/>
      <c r="B588" s="40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</row>
    <row r="589">
      <c r="A589" s="34"/>
      <c r="B589" s="40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</row>
    <row r="590">
      <c r="A590" s="34"/>
      <c r="B590" s="40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</row>
    <row r="591">
      <c r="A591" s="34"/>
      <c r="B591" s="40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</row>
    <row r="592">
      <c r="A592" s="34"/>
      <c r="B592" s="40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</row>
    <row r="593">
      <c r="A593" s="34"/>
      <c r="B593" s="40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</row>
    <row r="594">
      <c r="A594" s="34"/>
      <c r="B594" s="40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</row>
    <row r="595">
      <c r="A595" s="34"/>
      <c r="B595" s="40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</row>
    <row r="596">
      <c r="A596" s="34"/>
      <c r="B596" s="40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</row>
    <row r="597">
      <c r="A597" s="34"/>
      <c r="B597" s="40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</row>
    <row r="598">
      <c r="A598" s="34"/>
      <c r="B598" s="40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</row>
    <row r="599">
      <c r="A599" s="34"/>
      <c r="B599" s="40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</row>
    <row r="600">
      <c r="A600" s="34"/>
      <c r="B600" s="40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</row>
    <row r="601">
      <c r="A601" s="34"/>
      <c r="B601" s="40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</row>
    <row r="602">
      <c r="A602" s="34"/>
      <c r="B602" s="40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</row>
    <row r="603">
      <c r="A603" s="34"/>
      <c r="B603" s="40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</row>
    <row r="604">
      <c r="A604" s="34"/>
      <c r="B604" s="40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</row>
    <row r="605">
      <c r="A605" s="34"/>
      <c r="B605" s="40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</row>
    <row r="606">
      <c r="A606" s="34"/>
      <c r="B606" s="40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</row>
    <row r="607">
      <c r="A607" s="34"/>
      <c r="B607" s="40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</row>
    <row r="608">
      <c r="A608" s="34"/>
      <c r="B608" s="40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</row>
    <row r="609">
      <c r="A609" s="34"/>
      <c r="B609" s="40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</row>
    <row r="610">
      <c r="A610" s="34"/>
      <c r="B610" s="40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</row>
    <row r="611">
      <c r="A611" s="34"/>
      <c r="B611" s="40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</row>
    <row r="612">
      <c r="A612" s="34"/>
      <c r="B612" s="40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</row>
    <row r="613">
      <c r="A613" s="34"/>
      <c r="B613" s="40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</row>
    <row r="614">
      <c r="A614" s="34"/>
      <c r="B614" s="40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</row>
    <row r="615">
      <c r="A615" s="34"/>
      <c r="B615" s="40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</row>
    <row r="616">
      <c r="A616" s="34"/>
      <c r="B616" s="40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</row>
    <row r="617">
      <c r="A617" s="34"/>
      <c r="B617" s="40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</row>
    <row r="618">
      <c r="A618" s="34"/>
      <c r="B618" s="40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</row>
    <row r="619">
      <c r="A619" s="34"/>
      <c r="B619" s="40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</row>
    <row r="620">
      <c r="A620" s="34"/>
      <c r="B620" s="40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</row>
    <row r="621">
      <c r="A621" s="34"/>
      <c r="B621" s="40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</row>
    <row r="622">
      <c r="A622" s="34"/>
      <c r="B622" s="40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</row>
    <row r="623">
      <c r="A623" s="34"/>
      <c r="B623" s="40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</row>
    <row r="624">
      <c r="A624" s="34"/>
      <c r="B624" s="40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</row>
    <row r="625">
      <c r="A625" s="34"/>
      <c r="B625" s="40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</row>
    <row r="626">
      <c r="A626" s="34"/>
      <c r="B626" s="40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</row>
    <row r="627">
      <c r="A627" s="34"/>
      <c r="B627" s="40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</row>
    <row r="628">
      <c r="A628" s="34"/>
      <c r="B628" s="40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</row>
    <row r="629">
      <c r="A629" s="34"/>
      <c r="B629" s="40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</row>
    <row r="630">
      <c r="A630" s="34"/>
      <c r="B630" s="40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</row>
    <row r="631">
      <c r="A631" s="34"/>
      <c r="B631" s="40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</row>
    <row r="632">
      <c r="A632" s="34"/>
      <c r="B632" s="40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</row>
    <row r="633">
      <c r="A633" s="34"/>
      <c r="B633" s="40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</row>
    <row r="634">
      <c r="A634" s="34"/>
      <c r="B634" s="40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</row>
    <row r="635">
      <c r="A635" s="34"/>
      <c r="B635" s="40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</row>
    <row r="636">
      <c r="A636" s="34"/>
      <c r="B636" s="40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</row>
    <row r="637">
      <c r="A637" s="34"/>
      <c r="B637" s="40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</row>
    <row r="638">
      <c r="A638" s="34"/>
      <c r="B638" s="40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</row>
    <row r="639">
      <c r="A639" s="34"/>
      <c r="B639" s="40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</row>
    <row r="640">
      <c r="A640" s="34"/>
      <c r="B640" s="40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</row>
    <row r="641">
      <c r="A641" s="34"/>
      <c r="B641" s="40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</row>
    <row r="642">
      <c r="A642" s="34"/>
      <c r="B642" s="40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</row>
    <row r="643">
      <c r="A643" s="34"/>
      <c r="B643" s="40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</row>
    <row r="644">
      <c r="A644" s="34"/>
      <c r="B644" s="40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</row>
    <row r="645">
      <c r="A645" s="34"/>
      <c r="B645" s="40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</row>
    <row r="646">
      <c r="A646" s="34"/>
      <c r="B646" s="40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</row>
    <row r="647">
      <c r="A647" s="34"/>
      <c r="B647" s="40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</row>
    <row r="648">
      <c r="A648" s="34"/>
      <c r="B648" s="40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</row>
    <row r="649">
      <c r="A649" s="34"/>
      <c r="B649" s="40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</row>
    <row r="650">
      <c r="A650" s="34"/>
      <c r="B650" s="40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</row>
    <row r="651">
      <c r="A651" s="34"/>
      <c r="B651" s="40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</row>
    <row r="652">
      <c r="A652" s="34"/>
      <c r="B652" s="40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</row>
    <row r="653">
      <c r="A653" s="34"/>
      <c r="B653" s="40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</row>
    <row r="654">
      <c r="A654" s="34"/>
      <c r="B654" s="40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</row>
    <row r="655">
      <c r="A655" s="34"/>
      <c r="B655" s="40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</row>
    <row r="656">
      <c r="A656" s="34"/>
      <c r="B656" s="40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</row>
    <row r="657">
      <c r="A657" s="34"/>
      <c r="B657" s="40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</row>
    <row r="658">
      <c r="A658" s="34"/>
      <c r="B658" s="40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</row>
    <row r="659">
      <c r="A659" s="34"/>
      <c r="B659" s="40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</row>
    <row r="660">
      <c r="A660" s="34"/>
      <c r="B660" s="40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</row>
    <row r="661">
      <c r="A661" s="34"/>
      <c r="B661" s="40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</row>
    <row r="662">
      <c r="A662" s="34"/>
      <c r="B662" s="40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</row>
    <row r="663">
      <c r="A663" s="34"/>
      <c r="B663" s="40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</row>
    <row r="664">
      <c r="A664" s="34"/>
      <c r="B664" s="40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</row>
    <row r="665">
      <c r="A665" s="34"/>
      <c r="B665" s="40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</row>
    <row r="666">
      <c r="A666" s="34"/>
      <c r="B666" s="40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</row>
    <row r="667">
      <c r="A667" s="34"/>
      <c r="B667" s="40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</row>
    <row r="668">
      <c r="A668" s="34"/>
      <c r="B668" s="40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</row>
    <row r="669">
      <c r="A669" s="34"/>
      <c r="B669" s="40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</row>
    <row r="670">
      <c r="A670" s="34"/>
      <c r="B670" s="40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</row>
    <row r="671">
      <c r="A671" s="34"/>
      <c r="B671" s="40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</row>
    <row r="672">
      <c r="A672" s="34"/>
      <c r="B672" s="40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</row>
    <row r="673">
      <c r="A673" s="34"/>
      <c r="B673" s="40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</row>
    <row r="674">
      <c r="A674" s="34"/>
      <c r="B674" s="40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</row>
    <row r="675">
      <c r="A675" s="34"/>
      <c r="B675" s="40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</row>
    <row r="676">
      <c r="A676" s="34"/>
      <c r="B676" s="40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</row>
    <row r="677">
      <c r="A677" s="34"/>
      <c r="B677" s="40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</row>
    <row r="678">
      <c r="A678" s="34"/>
      <c r="B678" s="40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</row>
    <row r="679">
      <c r="A679" s="34"/>
      <c r="B679" s="40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</row>
    <row r="680">
      <c r="A680" s="34"/>
      <c r="B680" s="40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</row>
    <row r="681">
      <c r="A681" s="34"/>
      <c r="B681" s="40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</row>
    <row r="682">
      <c r="A682" s="34"/>
      <c r="B682" s="40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</row>
    <row r="683">
      <c r="A683" s="34"/>
      <c r="B683" s="40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</row>
    <row r="684">
      <c r="A684" s="34"/>
      <c r="B684" s="40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</row>
    <row r="685">
      <c r="A685" s="34"/>
      <c r="B685" s="40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</row>
    <row r="686">
      <c r="A686" s="34"/>
      <c r="B686" s="40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</row>
    <row r="687">
      <c r="A687" s="34"/>
      <c r="B687" s="40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</row>
    <row r="688">
      <c r="A688" s="34"/>
      <c r="B688" s="40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</row>
    <row r="689">
      <c r="A689" s="34"/>
      <c r="B689" s="40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</row>
    <row r="690">
      <c r="A690" s="34"/>
      <c r="B690" s="40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</row>
    <row r="691">
      <c r="A691" s="34"/>
      <c r="B691" s="40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</row>
    <row r="692">
      <c r="A692" s="34"/>
      <c r="B692" s="40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</row>
    <row r="693">
      <c r="A693" s="34"/>
      <c r="B693" s="40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</row>
    <row r="694">
      <c r="A694" s="34"/>
      <c r="B694" s="40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</row>
    <row r="695">
      <c r="A695" s="34"/>
      <c r="B695" s="40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</row>
    <row r="696">
      <c r="A696" s="34"/>
      <c r="B696" s="40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</row>
    <row r="697">
      <c r="A697" s="34"/>
      <c r="B697" s="40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</row>
    <row r="698">
      <c r="A698" s="34"/>
      <c r="B698" s="40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</row>
    <row r="699">
      <c r="A699" s="34"/>
      <c r="B699" s="40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</row>
    <row r="700">
      <c r="A700" s="34"/>
      <c r="B700" s="40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</row>
    <row r="701">
      <c r="A701" s="34"/>
      <c r="B701" s="40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</row>
    <row r="702">
      <c r="A702" s="34"/>
      <c r="B702" s="40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</row>
    <row r="703">
      <c r="A703" s="34"/>
      <c r="B703" s="40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</row>
    <row r="704">
      <c r="A704" s="34"/>
      <c r="B704" s="40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</row>
    <row r="705">
      <c r="A705" s="34"/>
      <c r="B705" s="40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</row>
    <row r="706">
      <c r="A706" s="34"/>
      <c r="B706" s="40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</row>
    <row r="707">
      <c r="A707" s="34"/>
      <c r="B707" s="40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</row>
    <row r="708">
      <c r="A708" s="34"/>
      <c r="B708" s="40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</row>
    <row r="709">
      <c r="A709" s="34"/>
      <c r="B709" s="40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</row>
    <row r="710">
      <c r="A710" s="34"/>
      <c r="B710" s="40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</row>
    <row r="711">
      <c r="A711" s="34"/>
      <c r="B711" s="40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</row>
    <row r="712">
      <c r="A712" s="34"/>
      <c r="B712" s="40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</row>
    <row r="713">
      <c r="A713" s="34"/>
      <c r="B713" s="40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</row>
    <row r="714">
      <c r="A714" s="34"/>
      <c r="B714" s="40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</row>
    <row r="715">
      <c r="A715" s="34"/>
      <c r="B715" s="40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</row>
    <row r="716">
      <c r="A716" s="34"/>
      <c r="B716" s="40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</row>
    <row r="717">
      <c r="A717" s="34"/>
      <c r="B717" s="40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</row>
    <row r="718">
      <c r="A718" s="34"/>
      <c r="B718" s="40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</row>
    <row r="719">
      <c r="A719" s="34"/>
      <c r="B719" s="40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</row>
    <row r="720">
      <c r="A720" s="34"/>
      <c r="B720" s="40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</row>
    <row r="721">
      <c r="A721" s="34"/>
      <c r="B721" s="40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</row>
    <row r="722">
      <c r="A722" s="34"/>
      <c r="B722" s="40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</row>
    <row r="723">
      <c r="A723" s="34"/>
      <c r="B723" s="40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</row>
    <row r="724">
      <c r="A724" s="34"/>
      <c r="B724" s="40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</row>
    <row r="725">
      <c r="A725" s="34"/>
      <c r="B725" s="40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</row>
    <row r="726">
      <c r="A726" s="34"/>
      <c r="B726" s="40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</row>
    <row r="727">
      <c r="A727" s="34"/>
      <c r="B727" s="40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</row>
    <row r="728">
      <c r="A728" s="34"/>
      <c r="B728" s="40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</row>
    <row r="729">
      <c r="A729" s="34"/>
      <c r="B729" s="40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</row>
    <row r="730">
      <c r="A730" s="34"/>
      <c r="B730" s="40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</row>
    <row r="731">
      <c r="A731" s="34"/>
      <c r="B731" s="40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</row>
    <row r="732">
      <c r="A732" s="34"/>
      <c r="B732" s="40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</row>
    <row r="733">
      <c r="A733" s="34"/>
      <c r="B733" s="40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</row>
    <row r="734">
      <c r="A734" s="34"/>
      <c r="B734" s="40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</row>
    <row r="735">
      <c r="A735" s="34"/>
      <c r="B735" s="40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</row>
    <row r="736">
      <c r="A736" s="34"/>
      <c r="B736" s="40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</row>
    <row r="737">
      <c r="A737" s="34"/>
      <c r="B737" s="40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</row>
    <row r="738">
      <c r="A738" s="34"/>
      <c r="B738" s="40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</row>
    <row r="739">
      <c r="A739" s="34"/>
      <c r="B739" s="40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</row>
    <row r="740">
      <c r="A740" s="34"/>
      <c r="B740" s="40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</row>
    <row r="741">
      <c r="A741" s="34"/>
      <c r="B741" s="40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</row>
    <row r="742">
      <c r="A742" s="34"/>
      <c r="B742" s="40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</row>
    <row r="743">
      <c r="A743" s="34"/>
      <c r="B743" s="40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</row>
    <row r="744">
      <c r="A744" s="34"/>
      <c r="B744" s="40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</row>
    <row r="745">
      <c r="A745" s="34"/>
      <c r="B745" s="40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</row>
    <row r="746">
      <c r="A746" s="34"/>
      <c r="B746" s="40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</row>
    <row r="747">
      <c r="A747" s="34"/>
      <c r="B747" s="40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</row>
    <row r="748">
      <c r="A748" s="34"/>
      <c r="B748" s="40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</row>
    <row r="749">
      <c r="A749" s="34"/>
      <c r="B749" s="40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</row>
    <row r="750">
      <c r="A750" s="34"/>
      <c r="B750" s="40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</row>
    <row r="751">
      <c r="A751" s="34"/>
      <c r="B751" s="40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</row>
    <row r="752">
      <c r="A752" s="34"/>
      <c r="B752" s="40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</row>
    <row r="753">
      <c r="A753" s="34"/>
      <c r="B753" s="40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</row>
    <row r="754">
      <c r="A754" s="34"/>
      <c r="B754" s="40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</row>
    <row r="755">
      <c r="A755" s="34"/>
      <c r="B755" s="40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</row>
    <row r="756">
      <c r="A756" s="34"/>
      <c r="B756" s="40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</row>
    <row r="757">
      <c r="A757" s="34"/>
      <c r="B757" s="40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</row>
    <row r="758">
      <c r="A758" s="34"/>
      <c r="B758" s="40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</row>
    <row r="759">
      <c r="A759" s="34"/>
      <c r="B759" s="40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</row>
    <row r="760">
      <c r="A760" s="34"/>
      <c r="B760" s="40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</row>
    <row r="761">
      <c r="A761" s="34"/>
      <c r="B761" s="40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</row>
    <row r="762">
      <c r="A762" s="34"/>
      <c r="B762" s="40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</row>
    <row r="763">
      <c r="A763" s="34"/>
      <c r="B763" s="40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</row>
    <row r="764">
      <c r="A764" s="34"/>
      <c r="B764" s="40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</row>
    <row r="765">
      <c r="A765" s="34"/>
      <c r="B765" s="40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</row>
    <row r="766">
      <c r="A766" s="34"/>
      <c r="B766" s="40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</row>
    <row r="767">
      <c r="A767" s="34"/>
      <c r="B767" s="40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</row>
    <row r="768">
      <c r="A768" s="34"/>
      <c r="B768" s="40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</row>
    <row r="769">
      <c r="A769" s="34"/>
      <c r="B769" s="40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</row>
    <row r="770">
      <c r="A770" s="34"/>
      <c r="B770" s="40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</row>
    <row r="771">
      <c r="A771" s="34"/>
      <c r="B771" s="40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</row>
    <row r="772">
      <c r="A772" s="34"/>
      <c r="B772" s="40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</row>
    <row r="773">
      <c r="A773" s="34"/>
      <c r="B773" s="40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</row>
    <row r="774">
      <c r="A774" s="34"/>
      <c r="B774" s="40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</row>
    <row r="775">
      <c r="A775" s="34"/>
      <c r="B775" s="40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</row>
    <row r="776">
      <c r="A776" s="34"/>
      <c r="B776" s="40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</row>
    <row r="777">
      <c r="A777" s="34"/>
      <c r="B777" s="40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</row>
    <row r="778">
      <c r="A778" s="34"/>
      <c r="B778" s="40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</row>
    <row r="779">
      <c r="A779" s="34"/>
      <c r="B779" s="40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</row>
    <row r="780">
      <c r="A780" s="34"/>
      <c r="B780" s="40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</row>
    <row r="781">
      <c r="A781" s="34"/>
      <c r="B781" s="40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</row>
    <row r="782">
      <c r="A782" s="34"/>
      <c r="B782" s="40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</row>
    <row r="783">
      <c r="A783" s="34"/>
      <c r="B783" s="40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</row>
    <row r="784">
      <c r="A784" s="34"/>
      <c r="B784" s="40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</row>
    <row r="785">
      <c r="A785" s="34"/>
      <c r="B785" s="40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</row>
    <row r="786">
      <c r="A786" s="34"/>
      <c r="B786" s="40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</row>
    <row r="787">
      <c r="A787" s="34"/>
      <c r="B787" s="40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</row>
    <row r="788">
      <c r="A788" s="34"/>
      <c r="B788" s="40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</row>
    <row r="789">
      <c r="A789" s="34"/>
      <c r="B789" s="40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</row>
    <row r="790">
      <c r="A790" s="34"/>
      <c r="B790" s="40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</row>
    <row r="791">
      <c r="A791" s="34"/>
      <c r="B791" s="40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</row>
    <row r="792">
      <c r="A792" s="34"/>
      <c r="B792" s="40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</row>
    <row r="793">
      <c r="A793" s="34"/>
      <c r="B793" s="40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</row>
    <row r="794">
      <c r="A794" s="34"/>
      <c r="B794" s="40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</row>
    <row r="795">
      <c r="A795" s="34"/>
      <c r="B795" s="40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</row>
    <row r="796">
      <c r="A796" s="34"/>
      <c r="B796" s="40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</row>
    <row r="797">
      <c r="A797" s="34"/>
      <c r="B797" s="40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</row>
    <row r="798">
      <c r="A798" s="34"/>
      <c r="B798" s="40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</row>
    <row r="799">
      <c r="A799" s="34"/>
      <c r="B799" s="40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</row>
    <row r="800">
      <c r="A800" s="34"/>
      <c r="B800" s="40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</row>
    <row r="801">
      <c r="A801" s="34"/>
      <c r="B801" s="40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</row>
    <row r="802">
      <c r="A802" s="34"/>
      <c r="B802" s="40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</row>
    <row r="803">
      <c r="A803" s="34"/>
      <c r="B803" s="40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</row>
    <row r="804">
      <c r="A804" s="34"/>
      <c r="B804" s="40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</row>
    <row r="805">
      <c r="A805" s="34"/>
      <c r="B805" s="40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</row>
    <row r="806">
      <c r="A806" s="34"/>
      <c r="B806" s="40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</row>
    <row r="807">
      <c r="A807" s="34"/>
      <c r="B807" s="40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</row>
    <row r="808">
      <c r="A808" s="34"/>
      <c r="B808" s="40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</row>
    <row r="809">
      <c r="A809" s="34"/>
      <c r="B809" s="40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</row>
    <row r="810">
      <c r="A810" s="34"/>
      <c r="B810" s="40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</row>
    <row r="811">
      <c r="A811" s="34"/>
      <c r="B811" s="40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</row>
    <row r="812">
      <c r="A812" s="34"/>
      <c r="B812" s="40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</row>
    <row r="813">
      <c r="A813" s="34"/>
      <c r="B813" s="40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</row>
    <row r="814">
      <c r="A814" s="34"/>
      <c r="B814" s="40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</row>
    <row r="815">
      <c r="A815" s="34"/>
      <c r="B815" s="40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</row>
    <row r="816">
      <c r="A816" s="34"/>
      <c r="B816" s="40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</row>
    <row r="817">
      <c r="A817" s="34"/>
      <c r="B817" s="40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</row>
    <row r="818">
      <c r="A818" s="34"/>
      <c r="B818" s="40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</row>
    <row r="819">
      <c r="A819" s="34"/>
      <c r="B819" s="40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</row>
    <row r="820">
      <c r="A820" s="34"/>
      <c r="B820" s="40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</row>
    <row r="821">
      <c r="A821" s="34"/>
      <c r="B821" s="40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</row>
    <row r="822">
      <c r="A822" s="34"/>
      <c r="B822" s="40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</row>
    <row r="823">
      <c r="A823" s="34"/>
      <c r="B823" s="40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</row>
    <row r="824">
      <c r="A824" s="34"/>
      <c r="B824" s="40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</row>
    <row r="825">
      <c r="A825" s="34"/>
      <c r="B825" s="40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</row>
    <row r="826">
      <c r="A826" s="34"/>
      <c r="B826" s="40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</row>
    <row r="827">
      <c r="A827" s="34"/>
      <c r="B827" s="40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</row>
    <row r="828">
      <c r="A828" s="34"/>
      <c r="B828" s="40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</row>
    <row r="829">
      <c r="A829" s="34"/>
      <c r="B829" s="40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</row>
    <row r="830">
      <c r="A830" s="34"/>
      <c r="B830" s="40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</row>
    <row r="831">
      <c r="A831" s="34"/>
      <c r="B831" s="40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</row>
    <row r="832">
      <c r="A832" s="34"/>
      <c r="B832" s="40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</row>
    <row r="833">
      <c r="A833" s="34"/>
      <c r="B833" s="40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</row>
    <row r="834">
      <c r="A834" s="34"/>
      <c r="B834" s="40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</row>
    <row r="835">
      <c r="A835" s="34"/>
      <c r="B835" s="40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</row>
    <row r="836">
      <c r="A836" s="34"/>
      <c r="B836" s="40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</row>
    <row r="837">
      <c r="A837" s="34"/>
      <c r="B837" s="40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</row>
    <row r="838">
      <c r="A838" s="34"/>
      <c r="B838" s="40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</row>
    <row r="839">
      <c r="A839" s="34"/>
      <c r="B839" s="40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</row>
    <row r="840">
      <c r="A840" s="34"/>
      <c r="B840" s="40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</row>
    <row r="841">
      <c r="A841" s="34"/>
      <c r="B841" s="40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</row>
    <row r="842">
      <c r="A842" s="34"/>
      <c r="B842" s="40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</row>
    <row r="843">
      <c r="A843" s="34"/>
      <c r="B843" s="40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</row>
    <row r="844">
      <c r="A844" s="34"/>
      <c r="B844" s="40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</row>
    <row r="845">
      <c r="A845" s="34"/>
      <c r="B845" s="40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</row>
    <row r="846">
      <c r="A846" s="34"/>
      <c r="B846" s="40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</row>
    <row r="847">
      <c r="A847" s="34"/>
      <c r="B847" s="40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</row>
    <row r="848">
      <c r="A848" s="34"/>
      <c r="B848" s="40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</row>
    <row r="849">
      <c r="A849" s="34"/>
      <c r="B849" s="40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</row>
    <row r="850">
      <c r="A850" s="34"/>
      <c r="B850" s="40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</row>
    <row r="851">
      <c r="A851" s="34"/>
      <c r="B851" s="40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</row>
    <row r="852">
      <c r="A852" s="34"/>
      <c r="B852" s="40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</row>
    <row r="853">
      <c r="A853" s="34"/>
      <c r="B853" s="40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</row>
    <row r="854">
      <c r="A854" s="34"/>
      <c r="B854" s="40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</row>
    <row r="855">
      <c r="A855" s="34"/>
      <c r="B855" s="40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</row>
    <row r="856">
      <c r="A856" s="34"/>
      <c r="B856" s="40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</row>
    <row r="857">
      <c r="A857" s="34"/>
      <c r="B857" s="40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</row>
    <row r="858">
      <c r="A858" s="34"/>
      <c r="B858" s="40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</row>
    <row r="859">
      <c r="A859" s="34"/>
      <c r="B859" s="40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</row>
    <row r="860">
      <c r="A860" s="34"/>
      <c r="B860" s="40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</row>
    <row r="861">
      <c r="A861" s="34"/>
      <c r="B861" s="40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</row>
    <row r="862">
      <c r="A862" s="34"/>
      <c r="B862" s="40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</row>
    <row r="863">
      <c r="A863" s="34"/>
      <c r="B863" s="40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</row>
    <row r="864">
      <c r="A864" s="34"/>
      <c r="B864" s="40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</row>
    <row r="865">
      <c r="A865" s="34"/>
      <c r="B865" s="40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</row>
    <row r="866">
      <c r="A866" s="34"/>
      <c r="B866" s="40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</row>
    <row r="867">
      <c r="A867" s="34"/>
      <c r="B867" s="40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</row>
    <row r="868">
      <c r="A868" s="34"/>
      <c r="B868" s="40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</row>
    <row r="869">
      <c r="A869" s="34"/>
      <c r="B869" s="40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</row>
    <row r="870">
      <c r="A870" s="34"/>
      <c r="B870" s="40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</row>
    <row r="871">
      <c r="A871" s="34"/>
      <c r="B871" s="40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</row>
    <row r="872">
      <c r="A872" s="34"/>
      <c r="B872" s="40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</row>
    <row r="873">
      <c r="A873" s="34"/>
      <c r="B873" s="40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</row>
    <row r="874">
      <c r="A874" s="34"/>
      <c r="B874" s="40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</row>
    <row r="875">
      <c r="A875" s="34"/>
      <c r="B875" s="40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</row>
    <row r="876">
      <c r="A876" s="34"/>
      <c r="B876" s="40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</row>
    <row r="877">
      <c r="A877" s="34"/>
      <c r="B877" s="40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</row>
    <row r="878">
      <c r="A878" s="34"/>
      <c r="B878" s="40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</row>
    <row r="879">
      <c r="A879" s="34"/>
      <c r="B879" s="40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</row>
    <row r="880">
      <c r="A880" s="34"/>
      <c r="B880" s="40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</row>
    <row r="881">
      <c r="A881" s="34"/>
      <c r="B881" s="40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</row>
    <row r="882">
      <c r="A882" s="34"/>
      <c r="B882" s="40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</row>
    <row r="883">
      <c r="A883" s="34"/>
      <c r="B883" s="40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</row>
    <row r="884">
      <c r="A884" s="34"/>
      <c r="B884" s="40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</row>
    <row r="885">
      <c r="A885" s="34"/>
      <c r="B885" s="40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</row>
    <row r="886">
      <c r="A886" s="34"/>
      <c r="B886" s="40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</row>
    <row r="887">
      <c r="A887" s="34"/>
      <c r="B887" s="40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</row>
    <row r="888">
      <c r="A888" s="34"/>
      <c r="B888" s="40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</row>
    <row r="889">
      <c r="A889" s="34"/>
      <c r="B889" s="40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</row>
    <row r="890">
      <c r="A890" s="34"/>
      <c r="B890" s="40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</row>
    <row r="891">
      <c r="A891" s="34"/>
      <c r="B891" s="40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</row>
    <row r="892">
      <c r="A892" s="34"/>
      <c r="B892" s="40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</row>
    <row r="893">
      <c r="A893" s="34"/>
      <c r="B893" s="40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</row>
    <row r="894">
      <c r="A894" s="34"/>
      <c r="B894" s="40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</row>
    <row r="895">
      <c r="A895" s="34"/>
      <c r="B895" s="40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</row>
    <row r="896">
      <c r="A896" s="34"/>
      <c r="B896" s="40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</row>
    <row r="897">
      <c r="A897" s="34"/>
      <c r="B897" s="40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</row>
    <row r="898">
      <c r="A898" s="34"/>
      <c r="B898" s="40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</row>
    <row r="899">
      <c r="A899" s="34"/>
      <c r="B899" s="40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</row>
    <row r="900">
      <c r="A900" s="34"/>
      <c r="B900" s="40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</row>
    <row r="901">
      <c r="A901" s="34"/>
      <c r="B901" s="40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</row>
    <row r="902">
      <c r="A902" s="34"/>
      <c r="B902" s="40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</row>
    <row r="903">
      <c r="A903" s="34"/>
      <c r="B903" s="40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</row>
    <row r="904">
      <c r="A904" s="34"/>
      <c r="B904" s="40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</row>
    <row r="905">
      <c r="A905" s="34"/>
      <c r="B905" s="40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</row>
    <row r="906">
      <c r="A906" s="34"/>
      <c r="B906" s="40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</row>
    <row r="907">
      <c r="A907" s="34"/>
      <c r="B907" s="40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</row>
    <row r="908">
      <c r="A908" s="34"/>
      <c r="B908" s="40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</row>
    <row r="909">
      <c r="A909" s="34"/>
      <c r="B909" s="40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</row>
    <row r="910">
      <c r="A910" s="34"/>
      <c r="B910" s="40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</row>
    <row r="911">
      <c r="A911" s="34"/>
      <c r="B911" s="40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</row>
    <row r="912">
      <c r="A912" s="34"/>
      <c r="B912" s="40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</row>
    <row r="913">
      <c r="A913" s="34"/>
      <c r="B913" s="40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</row>
    <row r="914">
      <c r="A914" s="34"/>
      <c r="B914" s="40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</row>
    <row r="915">
      <c r="A915" s="34"/>
      <c r="B915" s="40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</row>
    <row r="916">
      <c r="A916" s="34"/>
      <c r="B916" s="40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</row>
    <row r="917">
      <c r="A917" s="34"/>
      <c r="B917" s="40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</row>
    <row r="918">
      <c r="A918" s="34"/>
      <c r="B918" s="40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</row>
    <row r="919">
      <c r="A919" s="34"/>
      <c r="B919" s="40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</row>
    <row r="920">
      <c r="A920" s="34"/>
      <c r="B920" s="40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</row>
    <row r="921">
      <c r="A921" s="34"/>
      <c r="B921" s="40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</row>
    <row r="922">
      <c r="A922" s="34"/>
      <c r="B922" s="40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</row>
    <row r="923">
      <c r="A923" s="34"/>
      <c r="B923" s="40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</row>
    <row r="924">
      <c r="A924" s="34"/>
      <c r="B924" s="40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</row>
    <row r="925">
      <c r="A925" s="34"/>
      <c r="B925" s="40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</row>
    <row r="926">
      <c r="A926" s="34"/>
      <c r="B926" s="40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</row>
    <row r="927">
      <c r="A927" s="34"/>
      <c r="B927" s="40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</row>
    <row r="928">
      <c r="A928" s="34"/>
      <c r="B928" s="40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</row>
    <row r="929">
      <c r="A929" s="34"/>
      <c r="B929" s="40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</row>
    <row r="930">
      <c r="A930" s="34"/>
      <c r="B930" s="40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</row>
    <row r="931">
      <c r="A931" s="34"/>
      <c r="B931" s="40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</row>
    <row r="932">
      <c r="A932" s="34"/>
      <c r="B932" s="40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</row>
    <row r="933">
      <c r="A933" s="34"/>
      <c r="B933" s="40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</row>
    <row r="934">
      <c r="A934" s="34"/>
      <c r="B934" s="40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</row>
    <row r="935">
      <c r="A935" s="34"/>
      <c r="B935" s="40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</row>
    <row r="936">
      <c r="A936" s="34"/>
      <c r="B936" s="40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</row>
    <row r="937">
      <c r="A937" s="34"/>
      <c r="B937" s="40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</row>
    <row r="938">
      <c r="A938" s="34"/>
      <c r="B938" s="40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</row>
    <row r="939">
      <c r="A939" s="34"/>
      <c r="B939" s="40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</row>
    <row r="940">
      <c r="A940" s="34"/>
      <c r="B940" s="40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</row>
    <row r="941">
      <c r="A941" s="34"/>
      <c r="B941" s="40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</row>
    <row r="942">
      <c r="A942" s="34"/>
      <c r="B942" s="40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</row>
    <row r="943">
      <c r="A943" s="34"/>
      <c r="B943" s="40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</row>
    <row r="944">
      <c r="A944" s="34"/>
      <c r="B944" s="40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</row>
    <row r="945">
      <c r="A945" s="34"/>
      <c r="B945" s="40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</row>
    <row r="946">
      <c r="A946" s="34"/>
      <c r="B946" s="40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</row>
    <row r="947">
      <c r="A947" s="34"/>
      <c r="B947" s="40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</row>
    <row r="948">
      <c r="A948" s="34"/>
      <c r="B948" s="40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</row>
    <row r="949">
      <c r="A949" s="34"/>
      <c r="B949" s="40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</row>
    <row r="950">
      <c r="A950" s="34"/>
      <c r="B950" s="40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</row>
    <row r="951">
      <c r="A951" s="34"/>
      <c r="B951" s="40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</row>
    <row r="952">
      <c r="A952" s="34"/>
      <c r="B952" s="40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</row>
    <row r="953">
      <c r="A953" s="34"/>
      <c r="B953" s="40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</row>
    <row r="954">
      <c r="A954" s="34"/>
      <c r="B954" s="40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</row>
    <row r="955">
      <c r="A955" s="34"/>
      <c r="B955" s="40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</row>
    <row r="956">
      <c r="A956" s="34"/>
      <c r="B956" s="40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</row>
    <row r="957">
      <c r="A957" s="34"/>
      <c r="B957" s="40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</row>
    <row r="958">
      <c r="A958" s="34"/>
      <c r="B958" s="40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</row>
    <row r="959">
      <c r="A959" s="34"/>
      <c r="B959" s="40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</row>
    <row r="960">
      <c r="A960" s="34"/>
      <c r="B960" s="40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</row>
    <row r="961">
      <c r="A961" s="34"/>
      <c r="B961" s="40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</row>
    <row r="962">
      <c r="A962" s="34"/>
      <c r="B962" s="40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</row>
    <row r="963">
      <c r="A963" s="34"/>
      <c r="B963" s="40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</row>
    <row r="964">
      <c r="A964" s="34"/>
      <c r="B964" s="40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</row>
    <row r="965">
      <c r="A965" s="34"/>
      <c r="B965" s="40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</row>
    <row r="966">
      <c r="A966" s="34"/>
      <c r="B966" s="40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</row>
    <row r="967">
      <c r="A967" s="34"/>
      <c r="B967" s="40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</row>
    <row r="968">
      <c r="A968" s="34"/>
      <c r="B968" s="40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</row>
    <row r="969">
      <c r="A969" s="34"/>
      <c r="B969" s="40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</row>
    <row r="970">
      <c r="A970" s="34"/>
      <c r="B970" s="40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</row>
    <row r="971">
      <c r="A971" s="34"/>
      <c r="B971" s="40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</row>
    <row r="972">
      <c r="A972" s="34"/>
      <c r="B972" s="40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</row>
    <row r="973">
      <c r="A973" s="34"/>
      <c r="B973" s="40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</row>
    <row r="974">
      <c r="A974" s="34"/>
      <c r="B974" s="40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</row>
    <row r="975">
      <c r="A975" s="34"/>
      <c r="B975" s="40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</row>
    <row r="976">
      <c r="A976" s="34"/>
      <c r="B976" s="40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</row>
    <row r="977">
      <c r="A977" s="34"/>
      <c r="B977" s="40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</row>
    <row r="978">
      <c r="A978" s="34"/>
      <c r="B978" s="40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</row>
    <row r="979">
      <c r="A979" s="34"/>
      <c r="B979" s="40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</row>
    <row r="980">
      <c r="A980" s="34"/>
      <c r="B980" s="40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</row>
    <row r="981">
      <c r="A981" s="34"/>
      <c r="B981" s="40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</row>
    <row r="982">
      <c r="A982" s="34"/>
      <c r="B982" s="40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</row>
    <row r="983">
      <c r="A983" s="34"/>
      <c r="B983" s="40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</row>
    <row r="984">
      <c r="A984" s="34"/>
      <c r="B984" s="40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</row>
    <row r="985">
      <c r="A985" s="34"/>
      <c r="B985" s="40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</row>
    <row r="986">
      <c r="A986" s="34"/>
      <c r="B986" s="40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</row>
    <row r="987">
      <c r="A987" s="34"/>
      <c r="B987" s="40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</row>
    <row r="988">
      <c r="A988" s="34"/>
      <c r="B988" s="40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</row>
    <row r="989">
      <c r="A989" s="34"/>
      <c r="B989" s="40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</row>
    <row r="990">
      <c r="A990" s="34"/>
      <c r="B990" s="40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</row>
    <row r="991">
      <c r="A991" s="34"/>
      <c r="B991" s="40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</row>
    <row r="992">
      <c r="A992" s="34"/>
      <c r="B992" s="40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</row>
    <row r="993">
      <c r="A993" s="34"/>
      <c r="B993" s="40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</row>
    <row r="994">
      <c r="A994" s="34"/>
      <c r="B994" s="40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</row>
    <row r="995">
      <c r="A995" s="34"/>
      <c r="B995" s="40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</row>
    <row r="996">
      <c r="A996" s="34"/>
      <c r="B996" s="40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</row>
    <row r="997">
      <c r="A997" s="34"/>
      <c r="B997" s="40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</row>
    <row r="998">
      <c r="A998" s="34"/>
      <c r="B998" s="40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</row>
    <row r="999">
      <c r="A999" s="34"/>
      <c r="B999" s="40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</row>
    <row r="1000">
      <c r="A1000" s="34"/>
      <c r="B1000" s="40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88"/>
  </cols>
  <sheetData>
    <row r="1">
      <c r="A1" s="41" t="s">
        <v>9</v>
      </c>
      <c r="B1" s="42" t="s">
        <v>93</v>
      </c>
      <c r="C1" s="41" t="s">
        <v>11</v>
      </c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</row>
    <row r="2">
      <c r="A2" s="44" t="s">
        <v>94</v>
      </c>
      <c r="B2" s="45" t="s">
        <v>95</v>
      </c>
      <c r="C2" s="44" t="s">
        <v>90</v>
      </c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</row>
    <row r="3">
      <c r="A3" s="46" t="s">
        <v>96</v>
      </c>
      <c r="B3" s="47" t="s">
        <v>97</v>
      </c>
      <c r="C3" s="46" t="s">
        <v>40</v>
      </c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</row>
    <row r="4">
      <c r="A4" s="46" t="s">
        <v>96</v>
      </c>
      <c r="B4" s="47" t="s">
        <v>97</v>
      </c>
      <c r="C4" s="46" t="s">
        <v>75</v>
      </c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</row>
    <row r="5">
      <c r="A5" s="46" t="s">
        <v>96</v>
      </c>
      <c r="B5" s="47" t="s">
        <v>97</v>
      </c>
      <c r="C5" s="46" t="s">
        <v>80</v>
      </c>
      <c r="D5" s="43"/>
      <c r="E5" s="43"/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</row>
    <row r="6">
      <c r="A6" s="46" t="s">
        <v>96</v>
      </c>
      <c r="B6" s="47" t="s">
        <v>98</v>
      </c>
      <c r="C6" s="48" t="s">
        <v>40</v>
      </c>
      <c r="D6" s="43"/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</row>
    <row r="7">
      <c r="A7" s="46" t="s">
        <v>96</v>
      </c>
      <c r="B7" s="47" t="s">
        <v>98</v>
      </c>
      <c r="C7" s="46" t="s">
        <v>75</v>
      </c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</row>
    <row r="8">
      <c r="A8" s="46" t="s">
        <v>96</v>
      </c>
      <c r="B8" s="47" t="s">
        <v>98</v>
      </c>
      <c r="C8" s="46" t="s">
        <v>80</v>
      </c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</row>
    <row r="9">
      <c r="A9" s="49" t="s">
        <v>96</v>
      </c>
      <c r="B9" s="50" t="s">
        <v>99</v>
      </c>
      <c r="C9" s="49" t="s">
        <v>40</v>
      </c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</row>
    <row r="10">
      <c r="A10" s="49" t="s">
        <v>96</v>
      </c>
      <c r="B10" s="50" t="s">
        <v>99</v>
      </c>
      <c r="C10" s="49" t="s">
        <v>75</v>
      </c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</row>
    <row r="11">
      <c r="A11" s="49" t="s">
        <v>96</v>
      </c>
      <c r="B11" s="50" t="s">
        <v>99</v>
      </c>
      <c r="C11" s="49" t="s">
        <v>80</v>
      </c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</row>
    <row r="12">
      <c r="A12" s="49" t="s">
        <v>96</v>
      </c>
      <c r="B12" s="50" t="s">
        <v>100</v>
      </c>
      <c r="C12" s="49" t="s">
        <v>40</v>
      </c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>
      <c r="A13" s="49" t="s">
        <v>96</v>
      </c>
      <c r="B13" s="50" t="s">
        <v>100</v>
      </c>
      <c r="C13" s="49" t="s">
        <v>75</v>
      </c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</row>
    <row r="14">
      <c r="A14" s="49" t="s">
        <v>96</v>
      </c>
      <c r="B14" s="50" t="s">
        <v>100</v>
      </c>
      <c r="C14" s="49" t="s">
        <v>80</v>
      </c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</row>
    <row r="15">
      <c r="A15" s="6" t="s">
        <v>101</v>
      </c>
      <c r="B15" s="51" t="s">
        <v>102</v>
      </c>
      <c r="C15" s="6" t="s">
        <v>22</v>
      </c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</row>
    <row r="16">
      <c r="A16" s="6" t="s">
        <v>101</v>
      </c>
      <c r="B16" s="51" t="s">
        <v>102</v>
      </c>
      <c r="C16" s="6" t="s">
        <v>6</v>
      </c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</row>
    <row r="17">
      <c r="A17" s="6" t="s">
        <v>101</v>
      </c>
      <c r="B17" s="51" t="s">
        <v>102</v>
      </c>
      <c r="C17" s="6" t="s">
        <v>40</v>
      </c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</row>
    <row r="18">
      <c r="A18" s="6" t="s">
        <v>101</v>
      </c>
      <c r="B18" s="51" t="s">
        <v>103</v>
      </c>
      <c r="C18" s="6" t="s">
        <v>22</v>
      </c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>
      <c r="A19" s="6" t="s">
        <v>101</v>
      </c>
      <c r="B19" s="51" t="s">
        <v>103</v>
      </c>
      <c r="C19" s="6" t="s">
        <v>6</v>
      </c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</row>
    <row r="20">
      <c r="A20" s="6" t="s">
        <v>101</v>
      </c>
      <c r="B20" s="51" t="s">
        <v>103</v>
      </c>
      <c r="C20" s="6" t="s">
        <v>40</v>
      </c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</row>
    <row r="21">
      <c r="A21" s="6" t="s">
        <v>101</v>
      </c>
      <c r="B21" s="51" t="s">
        <v>104</v>
      </c>
      <c r="C21" s="6" t="s">
        <v>22</v>
      </c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</row>
    <row r="22">
      <c r="A22" s="6" t="s">
        <v>101</v>
      </c>
      <c r="B22" s="51" t="s">
        <v>104</v>
      </c>
      <c r="C22" s="6" t="s">
        <v>6</v>
      </c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>
      <c r="A23" s="6" t="s">
        <v>101</v>
      </c>
      <c r="B23" s="51" t="s">
        <v>104</v>
      </c>
      <c r="C23" s="6" t="s">
        <v>40</v>
      </c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</row>
    <row r="24">
      <c r="A24" s="6" t="s">
        <v>101</v>
      </c>
      <c r="B24" s="51" t="s">
        <v>105</v>
      </c>
      <c r="C24" s="6" t="s">
        <v>22</v>
      </c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</row>
    <row r="25">
      <c r="A25" s="6" t="s">
        <v>101</v>
      </c>
      <c r="B25" s="51" t="s">
        <v>105</v>
      </c>
      <c r="C25" s="6" t="s">
        <v>6</v>
      </c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</row>
    <row r="26">
      <c r="A26" s="6" t="s">
        <v>101</v>
      </c>
      <c r="B26" s="51" t="s">
        <v>105</v>
      </c>
      <c r="C26" s="6" t="s">
        <v>40</v>
      </c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>
      <c r="A27" s="6" t="s">
        <v>101</v>
      </c>
      <c r="B27" s="51" t="s">
        <v>106</v>
      </c>
      <c r="C27" s="6" t="s">
        <v>22</v>
      </c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</row>
    <row r="28">
      <c r="A28" s="6" t="s">
        <v>101</v>
      </c>
      <c r="B28" s="51" t="s">
        <v>106</v>
      </c>
      <c r="C28" s="6" t="s">
        <v>6</v>
      </c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</row>
    <row r="29">
      <c r="A29" s="6" t="s">
        <v>101</v>
      </c>
      <c r="B29" s="51" t="s">
        <v>106</v>
      </c>
      <c r="C29" s="6" t="s">
        <v>40</v>
      </c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</row>
    <row r="30">
      <c r="A30" s="6" t="s">
        <v>101</v>
      </c>
      <c r="B30" s="51" t="s">
        <v>107</v>
      </c>
      <c r="C30" s="6" t="s">
        <v>22</v>
      </c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</row>
    <row r="31">
      <c r="A31" s="6" t="s">
        <v>101</v>
      </c>
      <c r="B31" s="51" t="s">
        <v>107</v>
      </c>
      <c r="C31" s="6" t="s">
        <v>6</v>
      </c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</row>
    <row r="32">
      <c r="A32" s="6" t="s">
        <v>101</v>
      </c>
      <c r="B32" s="51" t="s">
        <v>107</v>
      </c>
      <c r="C32" s="6" t="s">
        <v>40</v>
      </c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</row>
    <row r="33">
      <c r="A33" s="6" t="s">
        <v>101</v>
      </c>
      <c r="B33" s="51" t="s">
        <v>108</v>
      </c>
      <c r="C33" s="6" t="s">
        <v>22</v>
      </c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</row>
    <row r="34">
      <c r="A34" s="6" t="s">
        <v>101</v>
      </c>
      <c r="B34" s="51" t="s">
        <v>108</v>
      </c>
      <c r="C34" s="6" t="s">
        <v>6</v>
      </c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</row>
    <row r="35">
      <c r="A35" s="6" t="s">
        <v>101</v>
      </c>
      <c r="B35" s="51" t="s">
        <v>108</v>
      </c>
      <c r="C35" s="6" t="s">
        <v>40</v>
      </c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</row>
    <row r="36">
      <c r="A36" s="6" t="s">
        <v>101</v>
      </c>
      <c r="B36" s="51" t="s">
        <v>109</v>
      </c>
      <c r="C36" s="6" t="s">
        <v>22</v>
      </c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</row>
    <row r="37">
      <c r="A37" s="6" t="s">
        <v>101</v>
      </c>
      <c r="B37" s="51" t="s">
        <v>109</v>
      </c>
      <c r="C37" s="6" t="s">
        <v>6</v>
      </c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</row>
    <row r="38">
      <c r="A38" s="6" t="s">
        <v>101</v>
      </c>
      <c r="B38" s="51" t="s">
        <v>109</v>
      </c>
      <c r="C38" s="6" t="s">
        <v>40</v>
      </c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</row>
    <row r="39">
      <c r="A39" s="6" t="s">
        <v>101</v>
      </c>
      <c r="B39" s="51" t="s">
        <v>110</v>
      </c>
      <c r="C39" s="6" t="s">
        <v>22</v>
      </c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</row>
    <row r="40">
      <c r="A40" s="6" t="s">
        <v>101</v>
      </c>
      <c r="B40" s="51" t="s">
        <v>110</v>
      </c>
      <c r="C40" s="6" t="s">
        <v>6</v>
      </c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</row>
    <row r="41">
      <c r="A41" s="6" t="s">
        <v>101</v>
      </c>
      <c r="B41" s="51" t="s">
        <v>110</v>
      </c>
      <c r="C41" s="6" t="s">
        <v>40</v>
      </c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</row>
    <row r="42">
      <c r="A42" s="6" t="s">
        <v>101</v>
      </c>
      <c r="B42" s="51" t="s">
        <v>111</v>
      </c>
      <c r="C42" s="6" t="s">
        <v>22</v>
      </c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</row>
    <row r="43">
      <c r="A43" s="6" t="s">
        <v>101</v>
      </c>
      <c r="B43" s="51" t="s">
        <v>111</v>
      </c>
      <c r="C43" s="6" t="s">
        <v>6</v>
      </c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</row>
    <row r="44">
      <c r="A44" s="6" t="s">
        <v>101</v>
      </c>
      <c r="B44" s="51" t="s">
        <v>111</v>
      </c>
      <c r="C44" s="6" t="s">
        <v>40</v>
      </c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</row>
    <row r="45">
      <c r="A45" s="6" t="s">
        <v>101</v>
      </c>
      <c r="B45" s="51" t="s">
        <v>112</v>
      </c>
      <c r="C45" s="6" t="s">
        <v>22</v>
      </c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</row>
    <row r="46">
      <c r="A46" s="6" t="s">
        <v>101</v>
      </c>
      <c r="B46" s="51" t="s">
        <v>112</v>
      </c>
      <c r="C46" s="6" t="s">
        <v>6</v>
      </c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</row>
    <row r="47">
      <c r="A47" s="6" t="s">
        <v>101</v>
      </c>
      <c r="B47" s="51" t="s">
        <v>112</v>
      </c>
      <c r="C47" s="6" t="s">
        <v>40</v>
      </c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</row>
    <row r="48">
      <c r="A48" s="6" t="s">
        <v>101</v>
      </c>
      <c r="B48" s="51" t="s">
        <v>113</v>
      </c>
      <c r="C48" s="6" t="s">
        <v>22</v>
      </c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</row>
    <row r="49">
      <c r="A49" s="6" t="s">
        <v>101</v>
      </c>
      <c r="B49" s="51" t="s">
        <v>113</v>
      </c>
      <c r="C49" s="6" t="s">
        <v>6</v>
      </c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</row>
    <row r="50">
      <c r="A50" s="6" t="s">
        <v>101</v>
      </c>
      <c r="B50" s="51" t="s">
        <v>113</v>
      </c>
      <c r="C50" s="6" t="s">
        <v>40</v>
      </c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</row>
    <row r="51">
      <c r="A51" s="6" t="s">
        <v>101</v>
      </c>
      <c r="B51" s="51" t="s">
        <v>114</v>
      </c>
      <c r="C51" s="6" t="s">
        <v>22</v>
      </c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</row>
    <row r="52">
      <c r="A52" s="6" t="s">
        <v>101</v>
      </c>
      <c r="B52" s="51" t="s">
        <v>114</v>
      </c>
      <c r="C52" s="6" t="s">
        <v>6</v>
      </c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</row>
    <row r="53">
      <c r="A53" s="6" t="s">
        <v>101</v>
      </c>
      <c r="B53" s="51" t="s">
        <v>114</v>
      </c>
      <c r="C53" s="6" t="s">
        <v>40</v>
      </c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</row>
    <row r="54">
      <c r="A54" s="12" t="s">
        <v>115</v>
      </c>
      <c r="B54" s="52" t="s">
        <v>116</v>
      </c>
      <c r="C54" s="12" t="s">
        <v>19</v>
      </c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</row>
    <row r="55">
      <c r="A55" s="12" t="s">
        <v>115</v>
      </c>
      <c r="B55" s="52" t="s">
        <v>116</v>
      </c>
      <c r="C55" s="12" t="s">
        <v>22</v>
      </c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</row>
    <row r="56">
      <c r="A56" s="12" t="s">
        <v>115</v>
      </c>
      <c r="B56" s="52" t="s">
        <v>116</v>
      </c>
      <c r="C56" s="12" t="s">
        <v>24</v>
      </c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</row>
    <row r="57">
      <c r="A57" s="12" t="s">
        <v>115</v>
      </c>
      <c r="B57" s="52" t="s">
        <v>117</v>
      </c>
      <c r="C57" s="12" t="s">
        <v>19</v>
      </c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</row>
    <row r="58">
      <c r="A58" s="12" t="s">
        <v>115</v>
      </c>
      <c r="B58" s="52" t="s">
        <v>117</v>
      </c>
      <c r="C58" s="12" t="s">
        <v>22</v>
      </c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</row>
    <row r="59">
      <c r="A59" s="12" t="s">
        <v>115</v>
      </c>
      <c r="B59" s="52" t="s">
        <v>117</v>
      </c>
      <c r="C59" s="12" t="s">
        <v>24</v>
      </c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</row>
    <row r="60">
      <c r="A60" s="12" t="s">
        <v>115</v>
      </c>
      <c r="B60" s="52" t="s">
        <v>118</v>
      </c>
      <c r="C60" s="12" t="s">
        <v>19</v>
      </c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</row>
    <row r="61">
      <c r="A61" s="12" t="s">
        <v>115</v>
      </c>
      <c r="B61" s="52" t="s">
        <v>118</v>
      </c>
      <c r="C61" s="12" t="s">
        <v>22</v>
      </c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</row>
    <row r="62">
      <c r="A62" s="12" t="s">
        <v>115</v>
      </c>
      <c r="B62" s="52" t="s">
        <v>118</v>
      </c>
      <c r="C62" s="12" t="s">
        <v>24</v>
      </c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</row>
    <row r="63">
      <c r="A63" s="53" t="s">
        <v>119</v>
      </c>
      <c r="B63" s="54" t="s">
        <v>120</v>
      </c>
      <c r="C63" s="53" t="s">
        <v>19</v>
      </c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</row>
    <row r="64">
      <c r="A64" s="53" t="s">
        <v>119</v>
      </c>
      <c r="B64" s="54" t="s">
        <v>120</v>
      </c>
      <c r="C64" s="53" t="s">
        <v>6</v>
      </c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</row>
    <row r="65">
      <c r="A65" s="53" t="s">
        <v>119</v>
      </c>
      <c r="B65" s="54" t="s">
        <v>120</v>
      </c>
      <c r="C65" s="53" t="s">
        <v>80</v>
      </c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</row>
    <row r="66">
      <c r="A66" s="53" t="s">
        <v>119</v>
      </c>
      <c r="B66" s="54" t="s">
        <v>121</v>
      </c>
      <c r="C66" s="53" t="s">
        <v>19</v>
      </c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</row>
    <row r="67">
      <c r="A67" s="53" t="s">
        <v>119</v>
      </c>
      <c r="B67" s="54" t="s">
        <v>121</v>
      </c>
      <c r="C67" s="53" t="s">
        <v>6</v>
      </c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</row>
    <row r="68">
      <c r="A68" s="53" t="s">
        <v>119</v>
      </c>
      <c r="B68" s="54" t="s">
        <v>121</v>
      </c>
      <c r="C68" s="53" t="s">
        <v>80</v>
      </c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</row>
    <row r="69">
      <c r="A69" s="53" t="s">
        <v>119</v>
      </c>
      <c r="B69" s="54" t="s">
        <v>122</v>
      </c>
      <c r="C69" s="53" t="s">
        <v>19</v>
      </c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  <c r="Z69" s="43"/>
    </row>
    <row r="70">
      <c r="A70" s="53" t="s">
        <v>119</v>
      </c>
      <c r="B70" s="54" t="s">
        <v>122</v>
      </c>
      <c r="C70" s="53" t="s">
        <v>6</v>
      </c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</row>
    <row r="71">
      <c r="A71" s="53" t="s">
        <v>119</v>
      </c>
      <c r="B71" s="54" t="s">
        <v>122</v>
      </c>
      <c r="C71" s="53" t="s">
        <v>80</v>
      </c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</row>
    <row r="72">
      <c r="A72" s="53" t="s">
        <v>119</v>
      </c>
      <c r="B72" s="54" t="s">
        <v>123</v>
      </c>
      <c r="C72" s="53" t="s">
        <v>19</v>
      </c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</row>
    <row r="73">
      <c r="A73" s="53" t="s">
        <v>119</v>
      </c>
      <c r="B73" s="54" t="s">
        <v>123</v>
      </c>
      <c r="C73" s="53" t="s">
        <v>6</v>
      </c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</row>
    <row r="74">
      <c r="A74" s="53" t="s">
        <v>119</v>
      </c>
      <c r="B74" s="54" t="s">
        <v>123</v>
      </c>
      <c r="C74" s="53" t="s">
        <v>80</v>
      </c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</row>
    <row r="75">
      <c r="A75" s="53" t="s">
        <v>119</v>
      </c>
      <c r="B75" s="54" t="s">
        <v>124</v>
      </c>
      <c r="C75" s="53" t="s">
        <v>19</v>
      </c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</row>
    <row r="76">
      <c r="A76" s="53" t="s">
        <v>119</v>
      </c>
      <c r="B76" s="54" t="s">
        <v>124</v>
      </c>
      <c r="C76" s="53" t="s">
        <v>6</v>
      </c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</row>
    <row r="77">
      <c r="A77" s="53" t="s">
        <v>119</v>
      </c>
      <c r="B77" s="54" t="s">
        <v>124</v>
      </c>
      <c r="C77" s="53" t="s">
        <v>80</v>
      </c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</row>
    <row r="78">
      <c r="A78" s="53" t="s">
        <v>119</v>
      </c>
      <c r="B78" s="54" t="s">
        <v>125</v>
      </c>
      <c r="C78" s="53" t="s">
        <v>19</v>
      </c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</row>
    <row r="79">
      <c r="A79" s="53" t="s">
        <v>119</v>
      </c>
      <c r="B79" s="54" t="s">
        <v>125</v>
      </c>
      <c r="C79" s="53" t="s">
        <v>6</v>
      </c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</row>
    <row r="80">
      <c r="A80" s="53" t="s">
        <v>119</v>
      </c>
      <c r="B80" s="54" t="s">
        <v>125</v>
      </c>
      <c r="C80" s="53" t="s">
        <v>80</v>
      </c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</row>
    <row r="81">
      <c r="A81" s="53" t="s">
        <v>119</v>
      </c>
      <c r="B81" s="54" t="s">
        <v>126</v>
      </c>
      <c r="C81" s="53" t="s">
        <v>19</v>
      </c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</row>
    <row r="82">
      <c r="A82" s="53" t="s">
        <v>119</v>
      </c>
      <c r="B82" s="54" t="s">
        <v>126</v>
      </c>
      <c r="C82" s="53" t="s">
        <v>6</v>
      </c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</row>
    <row r="83">
      <c r="A83" s="53" t="s">
        <v>119</v>
      </c>
      <c r="B83" s="54" t="s">
        <v>126</v>
      </c>
      <c r="C83" s="53" t="s">
        <v>80</v>
      </c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</row>
    <row r="84">
      <c r="A84" s="53" t="s">
        <v>119</v>
      </c>
      <c r="B84" s="54" t="s">
        <v>127</v>
      </c>
      <c r="C84" s="53" t="s">
        <v>19</v>
      </c>
      <c r="D84" s="43"/>
      <c r="E84" s="43"/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</row>
    <row r="85">
      <c r="A85" s="53" t="s">
        <v>119</v>
      </c>
      <c r="B85" s="54" t="s">
        <v>127</v>
      </c>
      <c r="C85" s="53" t="s">
        <v>6</v>
      </c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</row>
    <row r="86">
      <c r="A86" s="53" t="s">
        <v>119</v>
      </c>
      <c r="B86" s="54" t="s">
        <v>127</v>
      </c>
      <c r="C86" s="53" t="s">
        <v>80</v>
      </c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</row>
    <row r="87">
      <c r="A87" s="53" t="s">
        <v>119</v>
      </c>
      <c r="B87" s="54" t="s">
        <v>128</v>
      </c>
      <c r="C87" s="53" t="s">
        <v>19</v>
      </c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</row>
    <row r="88">
      <c r="A88" s="53" t="s">
        <v>119</v>
      </c>
      <c r="B88" s="54" t="s">
        <v>128</v>
      </c>
      <c r="C88" s="53" t="s">
        <v>6</v>
      </c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</row>
    <row r="89">
      <c r="A89" s="53" t="s">
        <v>119</v>
      </c>
      <c r="B89" s="54" t="s">
        <v>128</v>
      </c>
      <c r="C89" s="53" t="s">
        <v>80</v>
      </c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</row>
    <row r="90">
      <c r="A90" s="53" t="s">
        <v>119</v>
      </c>
      <c r="B90" s="54" t="s">
        <v>129</v>
      </c>
      <c r="C90" s="53" t="s">
        <v>19</v>
      </c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</row>
    <row r="91">
      <c r="A91" s="53" t="s">
        <v>119</v>
      </c>
      <c r="B91" s="54" t="s">
        <v>129</v>
      </c>
      <c r="C91" s="53" t="s">
        <v>6</v>
      </c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</row>
    <row r="92">
      <c r="A92" s="53" t="s">
        <v>119</v>
      </c>
      <c r="B92" s="54" t="s">
        <v>129</v>
      </c>
      <c r="C92" s="53" t="s">
        <v>80</v>
      </c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</row>
    <row r="93">
      <c r="A93" s="53" t="s">
        <v>119</v>
      </c>
      <c r="B93" s="54" t="s">
        <v>130</v>
      </c>
      <c r="C93" s="53" t="s">
        <v>19</v>
      </c>
      <c r="D93" s="43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</row>
    <row r="94">
      <c r="A94" s="53" t="s">
        <v>119</v>
      </c>
      <c r="B94" s="54" t="s">
        <v>130</v>
      </c>
      <c r="C94" s="53" t="s">
        <v>6</v>
      </c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</row>
    <row r="95">
      <c r="A95" s="53" t="s">
        <v>119</v>
      </c>
      <c r="B95" s="54" t="s">
        <v>130</v>
      </c>
      <c r="C95" s="53" t="s">
        <v>80</v>
      </c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</row>
    <row r="96">
      <c r="A96" s="53" t="s">
        <v>119</v>
      </c>
      <c r="B96" s="54" t="s">
        <v>131</v>
      </c>
      <c r="C96" s="53" t="s">
        <v>19</v>
      </c>
      <c r="D96" s="43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</row>
    <row r="97">
      <c r="A97" s="53" t="s">
        <v>119</v>
      </c>
      <c r="B97" s="54" t="s">
        <v>131</v>
      </c>
      <c r="C97" s="53" t="s">
        <v>6</v>
      </c>
      <c r="D97" s="43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</row>
    <row r="98">
      <c r="A98" s="53" t="s">
        <v>119</v>
      </c>
      <c r="B98" s="54" t="s">
        <v>131</v>
      </c>
      <c r="C98" s="53" t="s">
        <v>80</v>
      </c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</row>
    <row r="99">
      <c r="A99" s="53" t="s">
        <v>119</v>
      </c>
      <c r="B99" s="54" t="s">
        <v>132</v>
      </c>
      <c r="C99" s="53" t="s">
        <v>19</v>
      </c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</row>
    <row r="100">
      <c r="A100" s="53" t="s">
        <v>119</v>
      </c>
      <c r="B100" s="54" t="s">
        <v>132</v>
      </c>
      <c r="C100" s="53" t="s">
        <v>6</v>
      </c>
      <c r="D100" s="43"/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</row>
    <row r="101">
      <c r="A101" s="53" t="s">
        <v>119</v>
      </c>
      <c r="B101" s="54" t="s">
        <v>132</v>
      </c>
      <c r="C101" s="53" t="s">
        <v>80</v>
      </c>
      <c r="D101" s="43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</row>
    <row r="102">
      <c r="A102" s="53" t="s">
        <v>119</v>
      </c>
      <c r="B102" s="54" t="s">
        <v>133</v>
      </c>
      <c r="C102" s="53" t="s">
        <v>19</v>
      </c>
      <c r="D102" s="43"/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</row>
    <row r="103">
      <c r="A103" s="53" t="s">
        <v>119</v>
      </c>
      <c r="B103" s="54" t="s">
        <v>133</v>
      </c>
      <c r="C103" s="53" t="s">
        <v>6</v>
      </c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</row>
    <row r="104">
      <c r="A104" s="53" t="s">
        <v>119</v>
      </c>
      <c r="B104" s="54" t="s">
        <v>133</v>
      </c>
      <c r="C104" s="53" t="s">
        <v>80</v>
      </c>
      <c r="D104" s="43"/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</row>
    <row r="105">
      <c r="A105" s="53" t="s">
        <v>119</v>
      </c>
      <c r="B105" s="54" t="s">
        <v>134</v>
      </c>
      <c r="C105" s="53" t="s">
        <v>19</v>
      </c>
      <c r="D105" s="43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</row>
    <row r="106">
      <c r="A106" s="53" t="s">
        <v>119</v>
      </c>
      <c r="B106" s="54" t="s">
        <v>134</v>
      </c>
      <c r="C106" s="53" t="s">
        <v>6</v>
      </c>
      <c r="D106" s="43"/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</row>
    <row r="107">
      <c r="A107" s="53" t="s">
        <v>119</v>
      </c>
      <c r="B107" s="54" t="s">
        <v>134</v>
      </c>
      <c r="C107" s="53" t="s">
        <v>80</v>
      </c>
      <c r="D107" s="43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</row>
    <row r="108">
      <c r="A108" s="53" t="s">
        <v>119</v>
      </c>
      <c r="B108" s="54" t="s">
        <v>135</v>
      </c>
      <c r="C108" s="53" t="s">
        <v>19</v>
      </c>
      <c r="D108" s="43"/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</row>
    <row r="109">
      <c r="A109" s="53" t="s">
        <v>119</v>
      </c>
      <c r="B109" s="54" t="s">
        <v>135</v>
      </c>
      <c r="C109" s="53" t="s">
        <v>6</v>
      </c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</row>
    <row r="110">
      <c r="A110" s="53" t="s">
        <v>119</v>
      </c>
      <c r="B110" s="54" t="s">
        <v>135</v>
      </c>
      <c r="C110" s="53" t="s">
        <v>80</v>
      </c>
      <c r="D110" s="43"/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</row>
    <row r="111">
      <c r="A111" s="53" t="s">
        <v>119</v>
      </c>
      <c r="B111" s="54" t="s">
        <v>136</v>
      </c>
      <c r="C111" s="53" t="s">
        <v>19</v>
      </c>
      <c r="D111" s="43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</row>
    <row r="112">
      <c r="A112" s="53" t="s">
        <v>119</v>
      </c>
      <c r="B112" s="54" t="s">
        <v>136</v>
      </c>
      <c r="C112" s="53" t="s">
        <v>6</v>
      </c>
      <c r="D112" s="43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</row>
    <row r="113">
      <c r="A113" s="53" t="s">
        <v>119</v>
      </c>
      <c r="B113" s="54" t="s">
        <v>136</v>
      </c>
      <c r="C113" s="53" t="s">
        <v>80</v>
      </c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</row>
    <row r="114">
      <c r="A114" s="53" t="s">
        <v>119</v>
      </c>
      <c r="B114" s="54" t="s">
        <v>137</v>
      </c>
      <c r="C114" s="53" t="s">
        <v>19</v>
      </c>
      <c r="D114" s="43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</row>
    <row r="115">
      <c r="A115" s="53" t="s">
        <v>119</v>
      </c>
      <c r="B115" s="54" t="s">
        <v>137</v>
      </c>
      <c r="C115" s="53" t="s">
        <v>6</v>
      </c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</row>
    <row r="116">
      <c r="A116" s="53" t="s">
        <v>119</v>
      </c>
      <c r="B116" s="54" t="s">
        <v>137</v>
      </c>
      <c r="C116" s="53" t="s">
        <v>80</v>
      </c>
      <c r="D116" s="43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</row>
    <row r="117">
      <c r="A117" s="53" t="s">
        <v>119</v>
      </c>
      <c r="B117" s="54" t="s">
        <v>138</v>
      </c>
      <c r="C117" s="53" t="s">
        <v>19</v>
      </c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</row>
    <row r="118">
      <c r="A118" s="53" t="s">
        <v>119</v>
      </c>
      <c r="B118" s="54" t="s">
        <v>138</v>
      </c>
      <c r="C118" s="53" t="s">
        <v>6</v>
      </c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</row>
    <row r="119">
      <c r="A119" s="53" t="s">
        <v>119</v>
      </c>
      <c r="B119" s="54" t="s">
        <v>138</v>
      </c>
      <c r="C119" s="53" t="s">
        <v>80</v>
      </c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</row>
    <row r="120">
      <c r="A120" s="53" t="s">
        <v>119</v>
      </c>
      <c r="B120" s="54" t="s">
        <v>139</v>
      </c>
      <c r="C120" s="53" t="s">
        <v>19</v>
      </c>
      <c r="D120" s="43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</row>
    <row r="121">
      <c r="A121" s="53" t="s">
        <v>119</v>
      </c>
      <c r="B121" s="54" t="s">
        <v>139</v>
      </c>
      <c r="C121" s="53" t="s">
        <v>6</v>
      </c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</row>
    <row r="122">
      <c r="A122" s="53" t="s">
        <v>119</v>
      </c>
      <c r="B122" s="54" t="s">
        <v>139</v>
      </c>
      <c r="C122" s="53" t="s">
        <v>80</v>
      </c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</row>
    <row r="123">
      <c r="A123" s="53" t="s">
        <v>119</v>
      </c>
      <c r="B123" s="54" t="s">
        <v>140</v>
      </c>
      <c r="C123" s="53" t="s">
        <v>19</v>
      </c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</row>
    <row r="124">
      <c r="A124" s="53" t="s">
        <v>119</v>
      </c>
      <c r="B124" s="54" t="s">
        <v>140</v>
      </c>
      <c r="C124" s="53" t="s">
        <v>6</v>
      </c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</row>
    <row r="125">
      <c r="A125" s="53" t="s">
        <v>119</v>
      </c>
      <c r="B125" s="54" t="s">
        <v>140</v>
      </c>
      <c r="C125" s="53" t="s">
        <v>80</v>
      </c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</row>
    <row r="126">
      <c r="A126" s="53" t="s">
        <v>119</v>
      </c>
      <c r="B126" s="54" t="s">
        <v>141</v>
      </c>
      <c r="C126" s="53" t="s">
        <v>19</v>
      </c>
      <c r="D126" s="43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</row>
    <row r="127">
      <c r="A127" s="53" t="s">
        <v>119</v>
      </c>
      <c r="B127" s="54" t="s">
        <v>141</v>
      </c>
      <c r="C127" s="53" t="s">
        <v>6</v>
      </c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</row>
    <row r="128">
      <c r="A128" s="53" t="s">
        <v>119</v>
      </c>
      <c r="B128" s="54" t="s">
        <v>141</v>
      </c>
      <c r="C128" s="53" t="s">
        <v>80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</row>
    <row r="129">
      <c r="A129" s="53" t="s">
        <v>119</v>
      </c>
      <c r="B129" s="54" t="s">
        <v>142</v>
      </c>
      <c r="C129" s="53" t="s">
        <v>19</v>
      </c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</row>
    <row r="130">
      <c r="A130" s="53" t="s">
        <v>119</v>
      </c>
      <c r="B130" s="54" t="s">
        <v>142</v>
      </c>
      <c r="C130" s="53" t="s">
        <v>6</v>
      </c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</row>
    <row r="131">
      <c r="A131" s="53" t="s">
        <v>119</v>
      </c>
      <c r="B131" s="54" t="s">
        <v>142</v>
      </c>
      <c r="C131" s="53" t="s">
        <v>80</v>
      </c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</row>
    <row r="132">
      <c r="A132" s="53" t="s">
        <v>119</v>
      </c>
      <c r="B132" s="54" t="s">
        <v>143</v>
      </c>
      <c r="C132" s="53" t="s">
        <v>19</v>
      </c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</row>
    <row r="133">
      <c r="A133" s="53" t="s">
        <v>119</v>
      </c>
      <c r="B133" s="54" t="s">
        <v>143</v>
      </c>
      <c r="C133" s="53" t="s">
        <v>6</v>
      </c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</row>
    <row r="134">
      <c r="A134" s="53" t="s">
        <v>119</v>
      </c>
      <c r="B134" s="54" t="s">
        <v>143</v>
      </c>
      <c r="C134" s="53" t="s">
        <v>80</v>
      </c>
      <c r="D134" s="43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</row>
    <row r="135">
      <c r="A135" s="53" t="s">
        <v>119</v>
      </c>
      <c r="B135" s="54" t="s">
        <v>144</v>
      </c>
      <c r="C135" s="53" t="s">
        <v>19</v>
      </c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</row>
    <row r="136">
      <c r="A136" s="53" t="s">
        <v>119</v>
      </c>
      <c r="B136" s="54" t="s">
        <v>144</v>
      </c>
      <c r="C136" s="53" t="s">
        <v>6</v>
      </c>
      <c r="D136" s="43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</row>
    <row r="137">
      <c r="A137" s="53" t="s">
        <v>119</v>
      </c>
      <c r="B137" s="54" t="s">
        <v>144</v>
      </c>
      <c r="C137" s="53" t="s">
        <v>80</v>
      </c>
      <c r="D137" s="43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</row>
    <row r="138">
      <c r="A138" s="53" t="s">
        <v>119</v>
      </c>
      <c r="B138" s="54" t="s">
        <v>145</v>
      </c>
      <c r="C138" s="53" t="s">
        <v>19</v>
      </c>
      <c r="D138" s="43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</row>
    <row r="139">
      <c r="A139" s="53" t="s">
        <v>119</v>
      </c>
      <c r="B139" s="54" t="s">
        <v>145</v>
      </c>
      <c r="C139" s="53" t="s">
        <v>6</v>
      </c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</row>
    <row r="140">
      <c r="A140" s="53" t="s">
        <v>119</v>
      </c>
      <c r="B140" s="54" t="s">
        <v>145</v>
      </c>
      <c r="C140" s="53" t="s">
        <v>80</v>
      </c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</row>
    <row r="141">
      <c r="A141" s="53" t="s">
        <v>119</v>
      </c>
      <c r="B141" s="54" t="s">
        <v>146</v>
      </c>
      <c r="C141" s="53" t="s">
        <v>19</v>
      </c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</row>
    <row r="142">
      <c r="A142" s="53" t="s">
        <v>119</v>
      </c>
      <c r="B142" s="54" t="s">
        <v>146</v>
      </c>
      <c r="C142" s="53" t="s">
        <v>6</v>
      </c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</row>
    <row r="143">
      <c r="A143" s="53" t="s">
        <v>119</v>
      </c>
      <c r="B143" s="54" t="s">
        <v>146</v>
      </c>
      <c r="C143" s="53" t="s">
        <v>80</v>
      </c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</row>
    <row r="144">
      <c r="A144" s="53" t="s">
        <v>119</v>
      </c>
      <c r="B144" s="54" t="s">
        <v>147</v>
      </c>
      <c r="C144" s="53" t="s">
        <v>19</v>
      </c>
      <c r="D144" s="43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</row>
    <row r="145">
      <c r="A145" s="53" t="s">
        <v>119</v>
      </c>
      <c r="B145" s="54" t="s">
        <v>147</v>
      </c>
      <c r="C145" s="53" t="s">
        <v>6</v>
      </c>
      <c r="D145" s="43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</row>
    <row r="146">
      <c r="A146" s="53" t="s">
        <v>119</v>
      </c>
      <c r="B146" s="54" t="s">
        <v>147</v>
      </c>
      <c r="C146" s="53" t="s">
        <v>80</v>
      </c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</row>
    <row r="147">
      <c r="A147" s="53" t="s">
        <v>119</v>
      </c>
      <c r="B147" s="54" t="s">
        <v>148</v>
      </c>
      <c r="C147" s="53" t="s">
        <v>19</v>
      </c>
      <c r="D147" s="43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</row>
    <row r="148">
      <c r="A148" s="53" t="s">
        <v>119</v>
      </c>
      <c r="B148" s="54" t="s">
        <v>148</v>
      </c>
      <c r="C148" s="53" t="s">
        <v>6</v>
      </c>
      <c r="D148" s="43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</row>
    <row r="149">
      <c r="A149" s="53" t="s">
        <v>119</v>
      </c>
      <c r="B149" s="54" t="s">
        <v>148</v>
      </c>
      <c r="C149" s="53" t="s">
        <v>80</v>
      </c>
      <c r="D149" s="43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</row>
    <row r="150">
      <c r="A150" s="53" t="s">
        <v>119</v>
      </c>
      <c r="B150" s="54" t="s">
        <v>149</v>
      </c>
      <c r="C150" s="53" t="s">
        <v>19</v>
      </c>
      <c r="D150" s="43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</row>
    <row r="151">
      <c r="A151" s="53" t="s">
        <v>119</v>
      </c>
      <c r="B151" s="54" t="s">
        <v>149</v>
      </c>
      <c r="C151" s="53" t="s">
        <v>6</v>
      </c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</row>
    <row r="152">
      <c r="A152" s="53" t="s">
        <v>119</v>
      </c>
      <c r="B152" s="54" t="s">
        <v>149</v>
      </c>
      <c r="C152" s="53" t="s">
        <v>80</v>
      </c>
      <c r="D152" s="43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</row>
    <row r="153">
      <c r="A153" s="53" t="s">
        <v>119</v>
      </c>
      <c r="B153" s="54" t="s">
        <v>150</v>
      </c>
      <c r="C153" s="53" t="s">
        <v>19</v>
      </c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</row>
    <row r="154">
      <c r="A154" s="53" t="s">
        <v>119</v>
      </c>
      <c r="B154" s="54" t="s">
        <v>150</v>
      </c>
      <c r="C154" s="53" t="s">
        <v>6</v>
      </c>
      <c r="D154" s="43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</row>
    <row r="155">
      <c r="A155" s="53" t="s">
        <v>119</v>
      </c>
      <c r="B155" s="54" t="s">
        <v>150</v>
      </c>
      <c r="C155" s="53" t="s">
        <v>80</v>
      </c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</row>
    <row r="156">
      <c r="A156" s="55" t="s">
        <v>151</v>
      </c>
      <c r="B156" s="56" t="s">
        <v>152</v>
      </c>
      <c r="C156" s="55" t="s">
        <v>43</v>
      </c>
      <c r="D156" s="43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</row>
    <row r="157">
      <c r="A157" s="55" t="s">
        <v>151</v>
      </c>
      <c r="B157" s="56" t="s">
        <v>152</v>
      </c>
      <c r="C157" s="55" t="s">
        <v>75</v>
      </c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</row>
    <row r="158">
      <c r="A158" s="55" t="s">
        <v>151</v>
      </c>
      <c r="B158" s="56" t="s">
        <v>152</v>
      </c>
      <c r="C158" s="55" t="s">
        <v>82</v>
      </c>
      <c r="D158" s="43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</row>
    <row r="159">
      <c r="A159" s="55" t="s">
        <v>151</v>
      </c>
      <c r="B159" s="56" t="s">
        <v>153</v>
      </c>
      <c r="C159" s="55" t="s">
        <v>43</v>
      </c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</row>
    <row r="160">
      <c r="A160" s="55" t="s">
        <v>151</v>
      </c>
      <c r="B160" s="56" t="s">
        <v>153</v>
      </c>
      <c r="C160" s="55" t="s">
        <v>75</v>
      </c>
      <c r="D160" s="43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</row>
    <row r="161">
      <c r="A161" s="55" t="s">
        <v>151</v>
      </c>
      <c r="B161" s="56" t="s">
        <v>153</v>
      </c>
      <c r="C161" s="55" t="s">
        <v>82</v>
      </c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</row>
    <row r="162">
      <c r="A162" s="55" t="s">
        <v>151</v>
      </c>
      <c r="B162" s="56" t="s">
        <v>154</v>
      </c>
      <c r="C162" s="55" t="s">
        <v>43</v>
      </c>
      <c r="D162" s="43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</row>
    <row r="163">
      <c r="A163" s="55" t="s">
        <v>151</v>
      </c>
      <c r="B163" s="56" t="s">
        <v>154</v>
      </c>
      <c r="C163" s="55" t="s">
        <v>75</v>
      </c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</row>
    <row r="164">
      <c r="A164" s="55" t="s">
        <v>151</v>
      </c>
      <c r="B164" s="56" t="s">
        <v>154</v>
      </c>
      <c r="C164" s="55" t="s">
        <v>82</v>
      </c>
      <c r="D164" s="43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</row>
    <row r="165">
      <c r="A165" s="55" t="s">
        <v>151</v>
      </c>
      <c r="B165" s="56" t="s">
        <v>155</v>
      </c>
      <c r="C165" s="55" t="s">
        <v>43</v>
      </c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</row>
    <row r="166">
      <c r="A166" s="55" t="s">
        <v>151</v>
      </c>
      <c r="B166" s="56" t="s">
        <v>155</v>
      </c>
      <c r="C166" s="55" t="s">
        <v>75</v>
      </c>
      <c r="D166" s="43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</row>
    <row r="167">
      <c r="A167" s="55" t="s">
        <v>151</v>
      </c>
      <c r="B167" s="56" t="s">
        <v>155</v>
      </c>
      <c r="C167" s="55" t="s">
        <v>82</v>
      </c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</row>
    <row r="168">
      <c r="A168" s="55" t="s">
        <v>151</v>
      </c>
      <c r="B168" s="56" t="s">
        <v>156</v>
      </c>
      <c r="C168" s="55" t="s">
        <v>43</v>
      </c>
      <c r="D168" s="43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</row>
    <row r="169">
      <c r="A169" s="55" t="s">
        <v>151</v>
      </c>
      <c r="B169" s="56" t="s">
        <v>156</v>
      </c>
      <c r="C169" s="55" t="s">
        <v>75</v>
      </c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</row>
    <row r="170">
      <c r="A170" s="55" t="s">
        <v>151</v>
      </c>
      <c r="B170" s="56" t="s">
        <v>156</v>
      </c>
      <c r="C170" s="55" t="s">
        <v>82</v>
      </c>
      <c r="D170" s="43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</row>
    <row r="171">
      <c r="A171" s="55" t="s">
        <v>151</v>
      </c>
      <c r="B171" s="56" t="s">
        <v>157</v>
      </c>
      <c r="C171" s="55" t="s">
        <v>43</v>
      </c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</row>
    <row r="172">
      <c r="A172" s="55" t="s">
        <v>151</v>
      </c>
      <c r="B172" s="56" t="s">
        <v>157</v>
      </c>
      <c r="C172" s="55" t="s">
        <v>75</v>
      </c>
      <c r="D172" s="43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</row>
    <row r="173">
      <c r="A173" s="55" t="s">
        <v>151</v>
      </c>
      <c r="B173" s="56" t="s">
        <v>157</v>
      </c>
      <c r="C173" s="55" t="s">
        <v>82</v>
      </c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</row>
    <row r="174">
      <c r="A174" s="55" t="s">
        <v>151</v>
      </c>
      <c r="B174" s="56" t="s">
        <v>158</v>
      </c>
      <c r="C174" s="55" t="s">
        <v>43</v>
      </c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</row>
    <row r="175">
      <c r="A175" s="55" t="s">
        <v>151</v>
      </c>
      <c r="B175" s="56" t="s">
        <v>158</v>
      </c>
      <c r="C175" s="55" t="s">
        <v>75</v>
      </c>
      <c r="D175" s="43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</row>
    <row r="176">
      <c r="A176" s="55" t="s">
        <v>151</v>
      </c>
      <c r="B176" s="56" t="s">
        <v>158</v>
      </c>
      <c r="C176" s="55" t="s">
        <v>82</v>
      </c>
      <c r="D176" s="43"/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</row>
    <row r="177">
      <c r="A177" s="55" t="s">
        <v>151</v>
      </c>
      <c r="B177" s="56" t="s">
        <v>159</v>
      </c>
      <c r="C177" s="55" t="s">
        <v>43</v>
      </c>
      <c r="D177" s="43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</row>
    <row r="178">
      <c r="A178" s="55" t="s">
        <v>151</v>
      </c>
      <c r="B178" s="56" t="s">
        <v>159</v>
      </c>
      <c r="C178" s="55" t="s">
        <v>75</v>
      </c>
      <c r="D178" s="43"/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</row>
    <row r="179">
      <c r="A179" s="55" t="s">
        <v>151</v>
      </c>
      <c r="B179" s="56" t="s">
        <v>159</v>
      </c>
      <c r="C179" s="55" t="s">
        <v>82</v>
      </c>
      <c r="D179" s="43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</row>
    <row r="180">
      <c r="A180" s="55" t="s">
        <v>151</v>
      </c>
      <c r="B180" s="56" t="s">
        <v>160</v>
      </c>
      <c r="C180" s="55" t="s">
        <v>43</v>
      </c>
      <c r="D180" s="43"/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</row>
    <row r="181">
      <c r="A181" s="55" t="s">
        <v>151</v>
      </c>
      <c r="B181" s="56" t="s">
        <v>160</v>
      </c>
      <c r="C181" s="55" t="s">
        <v>75</v>
      </c>
      <c r="D181" s="43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</row>
    <row r="182">
      <c r="A182" s="55" t="s">
        <v>151</v>
      </c>
      <c r="B182" s="56" t="s">
        <v>160</v>
      </c>
      <c r="C182" s="55" t="s">
        <v>82</v>
      </c>
      <c r="D182" s="43"/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</row>
    <row r="183">
      <c r="A183" s="55" t="s">
        <v>151</v>
      </c>
      <c r="B183" s="56" t="s">
        <v>161</v>
      </c>
      <c r="C183" s="55" t="s">
        <v>43</v>
      </c>
      <c r="D183" s="43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</row>
    <row r="184">
      <c r="A184" s="55" t="s">
        <v>151</v>
      </c>
      <c r="B184" s="56" t="s">
        <v>161</v>
      </c>
      <c r="C184" s="55" t="s">
        <v>75</v>
      </c>
      <c r="D184" s="43"/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</row>
    <row r="185">
      <c r="A185" s="55" t="s">
        <v>151</v>
      </c>
      <c r="B185" s="56" t="s">
        <v>161</v>
      </c>
      <c r="C185" s="55" t="s">
        <v>82</v>
      </c>
      <c r="D185" s="43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</row>
    <row r="186">
      <c r="A186" s="55" t="s">
        <v>151</v>
      </c>
      <c r="B186" s="56" t="s">
        <v>162</v>
      </c>
      <c r="C186" s="55" t="s">
        <v>43</v>
      </c>
      <c r="D186" s="43"/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</row>
    <row r="187">
      <c r="A187" s="55" t="s">
        <v>151</v>
      </c>
      <c r="B187" s="56" t="s">
        <v>162</v>
      </c>
      <c r="C187" s="55" t="s">
        <v>75</v>
      </c>
      <c r="D187" s="43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</row>
    <row r="188">
      <c r="A188" s="55" t="s">
        <v>151</v>
      </c>
      <c r="B188" s="56" t="s">
        <v>162</v>
      </c>
      <c r="C188" s="55" t="s">
        <v>82</v>
      </c>
      <c r="D188" s="43"/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</row>
    <row r="189">
      <c r="A189" s="55" t="s">
        <v>151</v>
      </c>
      <c r="B189" s="56" t="s">
        <v>163</v>
      </c>
      <c r="C189" s="55" t="s">
        <v>43</v>
      </c>
      <c r="D189" s="43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</row>
    <row r="190">
      <c r="A190" s="55" t="s">
        <v>151</v>
      </c>
      <c r="B190" s="56" t="s">
        <v>163</v>
      </c>
      <c r="C190" s="55" t="s">
        <v>75</v>
      </c>
      <c r="D190" s="43"/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</row>
    <row r="191">
      <c r="A191" s="55" t="s">
        <v>151</v>
      </c>
      <c r="B191" s="56" t="s">
        <v>163</v>
      </c>
      <c r="C191" s="55" t="s">
        <v>82</v>
      </c>
      <c r="D191" s="43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</row>
    <row r="192">
      <c r="A192" s="55" t="s">
        <v>151</v>
      </c>
      <c r="B192" s="56" t="s">
        <v>164</v>
      </c>
      <c r="C192" s="55" t="s">
        <v>43</v>
      </c>
      <c r="D192" s="43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</row>
    <row r="193">
      <c r="A193" s="55" t="s">
        <v>151</v>
      </c>
      <c r="B193" s="56" t="s">
        <v>164</v>
      </c>
      <c r="C193" s="55" t="s">
        <v>75</v>
      </c>
      <c r="D193" s="43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</row>
    <row r="194">
      <c r="A194" s="55" t="s">
        <v>151</v>
      </c>
      <c r="B194" s="56" t="s">
        <v>164</v>
      </c>
      <c r="C194" s="55" t="s">
        <v>82</v>
      </c>
      <c r="D194" s="43"/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</row>
    <row r="195">
      <c r="A195" s="57" t="s">
        <v>165</v>
      </c>
      <c r="B195" s="58" t="s">
        <v>166</v>
      </c>
      <c r="C195" s="57" t="s">
        <v>43</v>
      </c>
      <c r="D195" s="43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</row>
    <row r="196">
      <c r="A196" s="57" t="s">
        <v>165</v>
      </c>
      <c r="B196" s="58" t="s">
        <v>166</v>
      </c>
      <c r="C196" s="57" t="s">
        <v>75</v>
      </c>
      <c r="D196" s="43"/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</row>
    <row r="197">
      <c r="A197" s="57" t="s">
        <v>165</v>
      </c>
      <c r="B197" s="58" t="s">
        <v>166</v>
      </c>
      <c r="C197" s="57" t="s">
        <v>82</v>
      </c>
      <c r="D197" s="43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</row>
    <row r="198">
      <c r="A198" s="57" t="s">
        <v>165</v>
      </c>
      <c r="B198" s="58" t="s">
        <v>167</v>
      </c>
      <c r="C198" s="57" t="s">
        <v>33</v>
      </c>
      <c r="D198" s="43"/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</row>
    <row r="199">
      <c r="A199" s="57" t="s">
        <v>165</v>
      </c>
      <c r="B199" s="58" t="s">
        <v>167</v>
      </c>
      <c r="C199" s="57" t="s">
        <v>49</v>
      </c>
      <c r="D199" s="43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</row>
    <row r="200">
      <c r="A200" s="57" t="s">
        <v>165</v>
      </c>
      <c r="B200" s="58" t="s">
        <v>167</v>
      </c>
      <c r="C200" s="57" t="s">
        <v>51</v>
      </c>
      <c r="D200" s="43"/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</row>
    <row r="201">
      <c r="A201" s="57" t="s">
        <v>165</v>
      </c>
      <c r="B201" s="58" t="s">
        <v>168</v>
      </c>
      <c r="C201" s="57" t="s">
        <v>33</v>
      </c>
      <c r="D201" s="43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</row>
    <row r="202">
      <c r="A202" s="57" t="s">
        <v>165</v>
      </c>
      <c r="B202" s="58" t="s">
        <v>168</v>
      </c>
      <c r="C202" s="57" t="s">
        <v>49</v>
      </c>
      <c r="D202" s="43"/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</row>
    <row r="203">
      <c r="A203" s="57" t="s">
        <v>165</v>
      </c>
      <c r="B203" s="58" t="s">
        <v>168</v>
      </c>
      <c r="C203" s="57" t="s">
        <v>51</v>
      </c>
      <c r="D203" s="43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</row>
    <row r="204">
      <c r="A204" s="57" t="s">
        <v>165</v>
      </c>
      <c r="B204" s="58" t="s">
        <v>169</v>
      </c>
      <c r="C204" s="57" t="s">
        <v>33</v>
      </c>
      <c r="D204" s="43"/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</row>
    <row r="205">
      <c r="A205" s="57" t="s">
        <v>165</v>
      </c>
      <c r="B205" s="58" t="s">
        <v>169</v>
      </c>
      <c r="C205" s="57" t="s">
        <v>49</v>
      </c>
      <c r="D205" s="43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</row>
    <row r="206">
      <c r="A206" s="57" t="s">
        <v>165</v>
      </c>
      <c r="B206" s="58" t="s">
        <v>169</v>
      </c>
      <c r="C206" s="57" t="s">
        <v>51</v>
      </c>
      <c r="D206" s="43"/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</row>
    <row r="207">
      <c r="A207" s="57" t="s">
        <v>165</v>
      </c>
      <c r="B207" s="58" t="s">
        <v>170</v>
      </c>
      <c r="C207" s="57" t="s">
        <v>33</v>
      </c>
      <c r="D207" s="43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</row>
    <row r="208">
      <c r="A208" s="57" t="s">
        <v>165</v>
      </c>
      <c r="B208" s="58" t="s">
        <v>170</v>
      </c>
      <c r="C208" s="57" t="s">
        <v>49</v>
      </c>
      <c r="D208" s="43"/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</row>
    <row r="209">
      <c r="A209" s="57" t="s">
        <v>165</v>
      </c>
      <c r="B209" s="58" t="s">
        <v>170</v>
      </c>
      <c r="C209" s="57" t="s">
        <v>51</v>
      </c>
      <c r="D209" s="43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</row>
    <row r="210">
      <c r="A210" s="57" t="s">
        <v>165</v>
      </c>
      <c r="B210" s="58" t="s">
        <v>171</v>
      </c>
      <c r="C210" s="57" t="s">
        <v>33</v>
      </c>
      <c r="D210" s="43"/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</row>
    <row r="211">
      <c r="A211" s="57" t="s">
        <v>165</v>
      </c>
      <c r="B211" s="58" t="s">
        <v>171</v>
      </c>
      <c r="C211" s="57" t="s">
        <v>49</v>
      </c>
      <c r="D211" s="43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</row>
    <row r="212">
      <c r="A212" s="57" t="s">
        <v>165</v>
      </c>
      <c r="B212" s="58" t="s">
        <v>171</v>
      </c>
      <c r="C212" s="57" t="s">
        <v>51</v>
      </c>
      <c r="D212" s="43"/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</row>
    <row r="213">
      <c r="A213" s="57" t="s">
        <v>165</v>
      </c>
      <c r="B213" s="58" t="s">
        <v>172</v>
      </c>
      <c r="C213" s="57" t="s">
        <v>33</v>
      </c>
      <c r="D213" s="43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</row>
    <row r="214">
      <c r="A214" s="57" t="s">
        <v>165</v>
      </c>
      <c r="B214" s="58" t="s">
        <v>172</v>
      </c>
      <c r="C214" s="57" t="s">
        <v>49</v>
      </c>
      <c r="D214" s="43"/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</row>
    <row r="215">
      <c r="A215" s="57" t="s">
        <v>165</v>
      </c>
      <c r="B215" s="58" t="s">
        <v>172</v>
      </c>
      <c r="C215" s="57" t="s">
        <v>51</v>
      </c>
      <c r="D215" s="43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</row>
    <row r="216">
      <c r="A216" s="57" t="s">
        <v>165</v>
      </c>
      <c r="B216" s="58" t="s">
        <v>173</v>
      </c>
      <c r="C216" s="57" t="s">
        <v>33</v>
      </c>
      <c r="D216" s="43"/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</row>
    <row r="217">
      <c r="A217" s="57" t="s">
        <v>165</v>
      </c>
      <c r="B217" s="58" t="s">
        <v>173</v>
      </c>
      <c r="C217" s="57" t="s">
        <v>49</v>
      </c>
      <c r="D217" s="43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</row>
    <row r="218">
      <c r="A218" s="57" t="s">
        <v>165</v>
      </c>
      <c r="B218" s="58" t="s">
        <v>173</v>
      </c>
      <c r="C218" s="57" t="s">
        <v>51</v>
      </c>
      <c r="D218" s="43"/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</row>
    <row r="219">
      <c r="A219" s="59" t="s">
        <v>174</v>
      </c>
      <c r="B219" s="60" t="s">
        <v>175</v>
      </c>
      <c r="C219" s="59" t="s">
        <v>26</v>
      </c>
      <c r="D219" s="43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</row>
    <row r="220">
      <c r="A220" s="59" t="s">
        <v>174</v>
      </c>
      <c r="B220" s="60" t="s">
        <v>175</v>
      </c>
      <c r="C220" s="59" t="s">
        <v>45</v>
      </c>
      <c r="D220" s="43"/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</row>
    <row r="221">
      <c r="A221" s="59" t="s">
        <v>174</v>
      </c>
      <c r="B221" s="60" t="s">
        <v>176</v>
      </c>
      <c r="C221" s="59" t="s">
        <v>26</v>
      </c>
      <c r="D221" s="43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</row>
    <row r="222">
      <c r="A222" s="59" t="s">
        <v>174</v>
      </c>
      <c r="B222" s="60" t="s">
        <v>176</v>
      </c>
      <c r="C222" s="59" t="s">
        <v>45</v>
      </c>
      <c r="D222" s="43"/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</row>
    <row r="223">
      <c r="A223" s="59" t="s">
        <v>174</v>
      </c>
      <c r="B223" s="60" t="s">
        <v>177</v>
      </c>
      <c r="C223" s="59" t="s">
        <v>26</v>
      </c>
      <c r="D223" s="43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</row>
    <row r="224">
      <c r="A224" s="59" t="s">
        <v>174</v>
      </c>
      <c r="B224" s="60" t="s">
        <v>177</v>
      </c>
      <c r="C224" s="59" t="s">
        <v>45</v>
      </c>
      <c r="D224" s="43"/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</row>
    <row r="225">
      <c r="A225" s="59" t="s">
        <v>174</v>
      </c>
      <c r="B225" s="60" t="s">
        <v>178</v>
      </c>
      <c r="C225" s="59" t="s">
        <v>26</v>
      </c>
      <c r="D225" s="43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</row>
    <row r="226">
      <c r="A226" s="59" t="s">
        <v>174</v>
      </c>
      <c r="B226" s="60" t="s">
        <v>178</v>
      </c>
      <c r="C226" s="59" t="s">
        <v>45</v>
      </c>
      <c r="D226" s="43"/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</row>
    <row r="227">
      <c r="A227" s="59" t="s">
        <v>174</v>
      </c>
      <c r="B227" s="60" t="s">
        <v>179</v>
      </c>
      <c r="C227" s="59" t="s">
        <v>26</v>
      </c>
      <c r="D227" s="43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</row>
    <row r="228">
      <c r="A228" s="59" t="s">
        <v>174</v>
      </c>
      <c r="B228" s="60" t="s">
        <v>179</v>
      </c>
      <c r="C228" s="59" t="s">
        <v>45</v>
      </c>
      <c r="D228" s="43"/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</row>
    <row r="229">
      <c r="A229" s="59" t="s">
        <v>174</v>
      </c>
      <c r="B229" s="60" t="s">
        <v>180</v>
      </c>
      <c r="C229" s="59" t="s">
        <v>26</v>
      </c>
      <c r="D229" s="43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</row>
    <row r="230">
      <c r="A230" s="59" t="s">
        <v>174</v>
      </c>
      <c r="B230" s="60" t="s">
        <v>180</v>
      </c>
      <c r="C230" s="59" t="s">
        <v>45</v>
      </c>
      <c r="D230" s="43"/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</row>
    <row r="231">
      <c r="A231" s="59" t="s">
        <v>174</v>
      </c>
      <c r="B231" s="60" t="s">
        <v>181</v>
      </c>
      <c r="C231" s="59" t="s">
        <v>26</v>
      </c>
      <c r="D231" s="43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</row>
    <row r="232">
      <c r="A232" s="59" t="s">
        <v>174</v>
      </c>
      <c r="B232" s="60" t="s">
        <v>181</v>
      </c>
      <c r="C232" s="59" t="s">
        <v>45</v>
      </c>
      <c r="D232" s="43"/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</row>
    <row r="233">
      <c r="A233" s="59" t="s">
        <v>174</v>
      </c>
      <c r="B233" s="60" t="s">
        <v>182</v>
      </c>
      <c r="C233" s="59" t="s">
        <v>26</v>
      </c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</row>
    <row r="234">
      <c r="A234" s="59" t="s">
        <v>174</v>
      </c>
      <c r="B234" s="60" t="s">
        <v>182</v>
      </c>
      <c r="C234" s="59" t="s">
        <v>45</v>
      </c>
      <c r="D234" s="43"/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</row>
    <row r="235">
      <c r="A235" s="59" t="s">
        <v>174</v>
      </c>
      <c r="B235" s="60" t="s">
        <v>183</v>
      </c>
      <c r="C235" s="59" t="s">
        <v>26</v>
      </c>
      <c r="D235" s="43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</row>
    <row r="236">
      <c r="A236" s="59" t="s">
        <v>174</v>
      </c>
      <c r="B236" s="60" t="s">
        <v>183</v>
      </c>
      <c r="C236" s="59" t="s">
        <v>45</v>
      </c>
      <c r="D236" s="43"/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</row>
    <row r="237">
      <c r="A237" s="59" t="s">
        <v>174</v>
      </c>
      <c r="B237" s="60" t="s">
        <v>184</v>
      </c>
      <c r="C237" s="59" t="s">
        <v>26</v>
      </c>
      <c r="D237" s="43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</row>
    <row r="238">
      <c r="A238" s="59" t="s">
        <v>174</v>
      </c>
      <c r="B238" s="60" t="s">
        <v>184</v>
      </c>
      <c r="C238" s="59" t="s">
        <v>45</v>
      </c>
      <c r="D238" s="43"/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</row>
    <row r="239">
      <c r="A239" s="59" t="s">
        <v>174</v>
      </c>
      <c r="B239" s="60" t="s">
        <v>185</v>
      </c>
      <c r="C239" s="59" t="s">
        <v>26</v>
      </c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</row>
    <row r="240">
      <c r="A240" s="59" t="s">
        <v>174</v>
      </c>
      <c r="B240" s="60" t="s">
        <v>185</v>
      </c>
      <c r="C240" s="59" t="s">
        <v>45</v>
      </c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</row>
    <row r="241">
      <c r="A241" s="59" t="s">
        <v>174</v>
      </c>
      <c r="B241" s="60" t="s">
        <v>186</v>
      </c>
      <c r="C241" s="59" t="s">
        <v>26</v>
      </c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</row>
    <row r="242">
      <c r="A242" s="59" t="s">
        <v>174</v>
      </c>
      <c r="B242" s="60" t="s">
        <v>186</v>
      </c>
      <c r="C242" s="59" t="s">
        <v>45</v>
      </c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</row>
    <row r="243">
      <c r="A243" s="59" t="s">
        <v>174</v>
      </c>
      <c r="B243" s="60" t="s">
        <v>187</v>
      </c>
      <c r="C243" s="59" t="s">
        <v>26</v>
      </c>
      <c r="D243" s="43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</row>
    <row r="244">
      <c r="A244" s="59" t="s">
        <v>174</v>
      </c>
      <c r="B244" s="60" t="s">
        <v>187</v>
      </c>
      <c r="C244" s="59" t="s">
        <v>45</v>
      </c>
      <c r="D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</row>
    <row r="245">
      <c r="A245" s="59" t="s">
        <v>174</v>
      </c>
      <c r="B245" s="60" t="s">
        <v>188</v>
      </c>
      <c r="C245" s="59" t="s">
        <v>26</v>
      </c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</row>
    <row r="246">
      <c r="A246" s="59" t="s">
        <v>174</v>
      </c>
      <c r="B246" s="60" t="s">
        <v>188</v>
      </c>
      <c r="C246" s="59" t="s">
        <v>45</v>
      </c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</row>
    <row r="247">
      <c r="A247" s="59" t="s">
        <v>174</v>
      </c>
      <c r="B247" s="60" t="s">
        <v>189</v>
      </c>
      <c r="C247" s="59" t="s">
        <v>26</v>
      </c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</row>
    <row r="248">
      <c r="A248" s="59" t="s">
        <v>174</v>
      </c>
      <c r="B248" s="60" t="s">
        <v>189</v>
      </c>
      <c r="C248" s="59" t="s">
        <v>45</v>
      </c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</row>
    <row r="249">
      <c r="A249" s="59" t="s">
        <v>174</v>
      </c>
      <c r="B249" s="60" t="s">
        <v>190</v>
      </c>
      <c r="C249" s="59" t="s">
        <v>26</v>
      </c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</row>
    <row r="250">
      <c r="A250" s="59" t="s">
        <v>174</v>
      </c>
      <c r="B250" s="60" t="s">
        <v>190</v>
      </c>
      <c r="C250" s="59" t="s">
        <v>45</v>
      </c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</row>
    <row r="251">
      <c r="A251" s="59" t="s">
        <v>174</v>
      </c>
      <c r="B251" s="60" t="s">
        <v>191</v>
      </c>
      <c r="C251" s="59" t="s">
        <v>26</v>
      </c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</row>
    <row r="252">
      <c r="A252" s="59" t="s">
        <v>174</v>
      </c>
      <c r="B252" s="60" t="s">
        <v>191</v>
      </c>
      <c r="C252" s="59" t="s">
        <v>45</v>
      </c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</row>
    <row r="253">
      <c r="A253" s="59" t="s">
        <v>174</v>
      </c>
      <c r="B253" s="60" t="s">
        <v>192</v>
      </c>
      <c r="C253" s="59" t="s">
        <v>26</v>
      </c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</row>
    <row r="254">
      <c r="A254" s="59" t="s">
        <v>174</v>
      </c>
      <c r="B254" s="60" t="s">
        <v>192</v>
      </c>
      <c r="C254" s="59" t="s">
        <v>45</v>
      </c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</row>
    <row r="255">
      <c r="A255" s="59" t="s">
        <v>174</v>
      </c>
      <c r="B255" s="60" t="s">
        <v>193</v>
      </c>
      <c r="C255" s="59" t="s">
        <v>26</v>
      </c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</row>
    <row r="256">
      <c r="A256" s="59" t="s">
        <v>174</v>
      </c>
      <c r="B256" s="60" t="s">
        <v>193</v>
      </c>
      <c r="C256" s="59" t="s">
        <v>45</v>
      </c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</row>
    <row r="257">
      <c r="A257" s="59" t="s">
        <v>174</v>
      </c>
      <c r="B257" s="60" t="s">
        <v>194</v>
      </c>
      <c r="C257" s="59" t="s">
        <v>26</v>
      </c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</row>
    <row r="258">
      <c r="A258" s="59" t="s">
        <v>174</v>
      </c>
      <c r="B258" s="60" t="s">
        <v>194</v>
      </c>
      <c r="C258" s="59" t="s">
        <v>45</v>
      </c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</row>
    <row r="259">
      <c r="A259" s="59" t="s">
        <v>174</v>
      </c>
      <c r="B259" s="60" t="s">
        <v>195</v>
      </c>
      <c r="C259" s="59" t="s">
        <v>26</v>
      </c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</row>
    <row r="260">
      <c r="A260" s="59" t="s">
        <v>174</v>
      </c>
      <c r="B260" s="60" t="s">
        <v>195</v>
      </c>
      <c r="C260" s="59" t="s">
        <v>45</v>
      </c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</row>
    <row r="261">
      <c r="A261" s="61" t="s">
        <v>196</v>
      </c>
      <c r="B261" s="62" t="s">
        <v>197</v>
      </c>
      <c r="C261" s="63" t="s">
        <v>43</v>
      </c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</row>
    <row r="262">
      <c r="A262" s="61" t="s">
        <v>196</v>
      </c>
      <c r="B262" s="62" t="s">
        <v>197</v>
      </c>
      <c r="C262" s="63" t="s">
        <v>75</v>
      </c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</row>
    <row r="263">
      <c r="A263" s="61" t="s">
        <v>196</v>
      </c>
      <c r="B263" s="62" t="s">
        <v>197</v>
      </c>
      <c r="C263" s="63" t="s">
        <v>82</v>
      </c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</row>
    <row r="264">
      <c r="A264" s="61" t="s">
        <v>196</v>
      </c>
      <c r="B264" s="62" t="s">
        <v>198</v>
      </c>
      <c r="C264" s="63" t="s">
        <v>43</v>
      </c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</row>
    <row r="265">
      <c r="A265" s="61" t="s">
        <v>196</v>
      </c>
      <c r="B265" s="62" t="s">
        <v>198</v>
      </c>
      <c r="C265" s="63" t="s">
        <v>75</v>
      </c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</row>
    <row r="266">
      <c r="A266" s="61" t="s">
        <v>196</v>
      </c>
      <c r="B266" s="62" t="s">
        <v>198</v>
      </c>
      <c r="C266" s="63" t="s">
        <v>82</v>
      </c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</row>
    <row r="267">
      <c r="A267" s="61" t="s">
        <v>196</v>
      </c>
      <c r="B267" s="62" t="s">
        <v>199</v>
      </c>
      <c r="C267" s="63" t="s">
        <v>43</v>
      </c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</row>
    <row r="268">
      <c r="A268" s="61" t="s">
        <v>196</v>
      </c>
      <c r="B268" s="62" t="s">
        <v>199</v>
      </c>
      <c r="C268" s="63" t="s">
        <v>75</v>
      </c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</row>
    <row r="269">
      <c r="A269" s="61" t="s">
        <v>196</v>
      </c>
      <c r="B269" s="62" t="s">
        <v>199</v>
      </c>
      <c r="C269" s="63" t="s">
        <v>82</v>
      </c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</row>
    <row r="270">
      <c r="A270" s="61" t="s">
        <v>196</v>
      </c>
      <c r="B270" s="65" t="s">
        <v>200</v>
      </c>
      <c r="C270" s="63" t="s">
        <v>43</v>
      </c>
      <c r="D270" s="43"/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</row>
    <row r="271">
      <c r="A271" s="61" t="s">
        <v>196</v>
      </c>
      <c r="B271" s="65" t="s">
        <v>200</v>
      </c>
      <c r="C271" s="63" t="s">
        <v>75</v>
      </c>
      <c r="D271" s="43"/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</row>
    <row r="272">
      <c r="A272" s="61" t="s">
        <v>196</v>
      </c>
      <c r="B272" s="65" t="s">
        <v>200</v>
      </c>
      <c r="C272" s="63" t="s">
        <v>82</v>
      </c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</row>
    <row r="273">
      <c r="A273" s="61" t="s">
        <v>196</v>
      </c>
      <c r="B273" s="65" t="s">
        <v>201</v>
      </c>
      <c r="C273" s="63" t="s">
        <v>43</v>
      </c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</row>
    <row r="274">
      <c r="A274" s="61" t="s">
        <v>196</v>
      </c>
      <c r="B274" s="65" t="s">
        <v>201</v>
      </c>
      <c r="C274" s="63" t="s">
        <v>75</v>
      </c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</row>
    <row r="275">
      <c r="A275" s="61" t="s">
        <v>196</v>
      </c>
      <c r="B275" s="65" t="s">
        <v>201</v>
      </c>
      <c r="C275" s="63" t="s">
        <v>82</v>
      </c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</row>
    <row r="276">
      <c r="A276" s="61" t="s">
        <v>196</v>
      </c>
      <c r="B276" s="65" t="s">
        <v>202</v>
      </c>
      <c r="C276" s="63" t="s">
        <v>43</v>
      </c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</row>
    <row r="277">
      <c r="A277" s="61" t="s">
        <v>196</v>
      </c>
      <c r="B277" s="65" t="s">
        <v>202</v>
      </c>
      <c r="C277" s="63" t="s">
        <v>75</v>
      </c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</row>
    <row r="278">
      <c r="A278" s="61" t="s">
        <v>196</v>
      </c>
      <c r="B278" s="65" t="s">
        <v>202</v>
      </c>
      <c r="C278" s="63" t="s">
        <v>82</v>
      </c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</row>
    <row r="279">
      <c r="A279" s="61" t="s">
        <v>196</v>
      </c>
      <c r="B279" s="65" t="s">
        <v>203</v>
      </c>
      <c r="C279" s="63" t="s">
        <v>43</v>
      </c>
      <c r="D279" s="43"/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</row>
    <row r="280">
      <c r="A280" s="61" t="s">
        <v>196</v>
      </c>
      <c r="B280" s="65" t="s">
        <v>203</v>
      </c>
      <c r="C280" s="63" t="s">
        <v>75</v>
      </c>
      <c r="D280" s="43"/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</row>
    <row r="281">
      <c r="A281" s="61" t="s">
        <v>196</v>
      </c>
      <c r="B281" s="65" t="s">
        <v>203</v>
      </c>
      <c r="C281" s="63" t="s">
        <v>82</v>
      </c>
      <c r="D281" s="43"/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</row>
    <row r="282">
      <c r="A282" s="61" t="s">
        <v>196</v>
      </c>
      <c r="B282" s="65" t="s">
        <v>204</v>
      </c>
      <c r="C282" s="63" t="s">
        <v>43</v>
      </c>
      <c r="D282" s="43"/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</row>
    <row r="283">
      <c r="A283" s="61" t="s">
        <v>196</v>
      </c>
      <c r="B283" s="65" t="s">
        <v>204</v>
      </c>
      <c r="C283" s="63" t="s">
        <v>75</v>
      </c>
      <c r="D283" s="43"/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</row>
    <row r="284">
      <c r="A284" s="61" t="s">
        <v>196</v>
      </c>
      <c r="B284" s="65" t="s">
        <v>204</v>
      </c>
      <c r="C284" s="63" t="s">
        <v>82</v>
      </c>
      <c r="D284" s="43"/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</row>
    <row r="285">
      <c r="A285" s="61" t="s">
        <v>196</v>
      </c>
      <c r="B285" s="65" t="s">
        <v>205</v>
      </c>
      <c r="C285" s="63" t="s">
        <v>43</v>
      </c>
      <c r="D285" s="43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</row>
    <row r="286">
      <c r="A286" s="61" t="s">
        <v>196</v>
      </c>
      <c r="B286" s="65" t="s">
        <v>205</v>
      </c>
      <c r="C286" s="63" t="s">
        <v>75</v>
      </c>
      <c r="D286" s="43"/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</row>
    <row r="287">
      <c r="A287" s="61" t="s">
        <v>196</v>
      </c>
      <c r="B287" s="65" t="s">
        <v>205</v>
      </c>
      <c r="C287" s="63" t="s">
        <v>82</v>
      </c>
      <c r="D287" s="43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</row>
    <row r="288">
      <c r="A288" s="9" t="s">
        <v>206</v>
      </c>
      <c r="B288" s="66" t="s">
        <v>207</v>
      </c>
      <c r="C288" s="9" t="s">
        <v>28</v>
      </c>
      <c r="D288" s="43"/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</row>
    <row r="289">
      <c r="A289" s="9" t="s">
        <v>206</v>
      </c>
      <c r="B289" s="66" t="s">
        <v>207</v>
      </c>
      <c r="C289" s="9" t="s">
        <v>71</v>
      </c>
      <c r="D289" s="43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</row>
    <row r="290">
      <c r="A290" s="9" t="s">
        <v>206</v>
      </c>
      <c r="B290" s="66" t="s">
        <v>208</v>
      </c>
      <c r="C290" s="9" t="s">
        <v>28</v>
      </c>
      <c r="D290" s="43"/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</row>
    <row r="291">
      <c r="A291" s="9" t="s">
        <v>206</v>
      </c>
      <c r="B291" s="66" t="s">
        <v>208</v>
      </c>
      <c r="C291" s="9" t="s">
        <v>71</v>
      </c>
      <c r="D291" s="43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</row>
    <row r="292">
      <c r="A292" s="9" t="s">
        <v>206</v>
      </c>
      <c r="B292" s="66" t="s">
        <v>209</v>
      </c>
      <c r="C292" s="9" t="s">
        <v>28</v>
      </c>
      <c r="D292" s="43"/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</row>
    <row r="293">
      <c r="A293" s="9" t="s">
        <v>206</v>
      </c>
      <c r="B293" s="66" t="s">
        <v>209</v>
      </c>
      <c r="C293" s="9" t="s">
        <v>71</v>
      </c>
      <c r="D293" s="43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</row>
    <row r="294">
      <c r="A294" s="9" t="s">
        <v>206</v>
      </c>
      <c r="B294" s="66" t="s">
        <v>210</v>
      </c>
      <c r="C294" s="9" t="s">
        <v>28</v>
      </c>
      <c r="D294" s="43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</row>
    <row r="295">
      <c r="A295" s="9" t="s">
        <v>206</v>
      </c>
      <c r="B295" s="66" t="s">
        <v>210</v>
      </c>
      <c r="C295" s="9" t="s">
        <v>71</v>
      </c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</row>
    <row r="296">
      <c r="A296" s="9" t="s">
        <v>206</v>
      </c>
      <c r="B296" s="66" t="s">
        <v>211</v>
      </c>
      <c r="C296" s="9" t="s">
        <v>28</v>
      </c>
      <c r="D296" s="43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</row>
    <row r="297">
      <c r="A297" s="9" t="s">
        <v>206</v>
      </c>
      <c r="B297" s="66" t="s">
        <v>211</v>
      </c>
      <c r="C297" s="9" t="s">
        <v>71</v>
      </c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</row>
    <row r="298">
      <c r="A298" s="9" t="s">
        <v>206</v>
      </c>
      <c r="B298" s="66" t="s">
        <v>212</v>
      </c>
      <c r="C298" s="9" t="s">
        <v>28</v>
      </c>
      <c r="D298" s="43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</row>
    <row r="299">
      <c r="A299" s="9" t="s">
        <v>206</v>
      </c>
      <c r="B299" s="66" t="s">
        <v>212</v>
      </c>
      <c r="C299" s="9" t="s">
        <v>71</v>
      </c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</row>
    <row r="300">
      <c r="A300" s="9" t="s">
        <v>206</v>
      </c>
      <c r="B300" s="66" t="s">
        <v>213</v>
      </c>
      <c r="C300" s="9" t="s">
        <v>28</v>
      </c>
      <c r="D300" s="43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</row>
    <row r="301">
      <c r="A301" s="9" t="s">
        <v>206</v>
      </c>
      <c r="B301" s="66" t="s">
        <v>213</v>
      </c>
      <c r="C301" s="9" t="s">
        <v>71</v>
      </c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</row>
    <row r="302">
      <c r="A302" s="9" t="s">
        <v>206</v>
      </c>
      <c r="B302" s="66" t="s">
        <v>214</v>
      </c>
      <c r="C302" s="9" t="s">
        <v>28</v>
      </c>
      <c r="D302" s="43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</row>
    <row r="303">
      <c r="A303" s="9" t="s">
        <v>206</v>
      </c>
      <c r="B303" s="66" t="s">
        <v>214</v>
      </c>
      <c r="C303" s="9" t="s">
        <v>71</v>
      </c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</row>
    <row r="304">
      <c r="A304" s="9" t="s">
        <v>206</v>
      </c>
      <c r="B304" s="66" t="s">
        <v>215</v>
      </c>
      <c r="C304" s="9" t="s">
        <v>28</v>
      </c>
      <c r="D304" s="43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</row>
    <row r="305">
      <c r="A305" s="9" t="s">
        <v>206</v>
      </c>
      <c r="B305" s="66" t="s">
        <v>215</v>
      </c>
      <c r="C305" s="9" t="s">
        <v>71</v>
      </c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</row>
    <row r="306">
      <c r="A306" s="9" t="s">
        <v>206</v>
      </c>
      <c r="B306" s="66" t="s">
        <v>216</v>
      </c>
      <c r="C306" s="9" t="s">
        <v>28</v>
      </c>
      <c r="D306" s="43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</row>
    <row r="307">
      <c r="A307" s="9" t="s">
        <v>206</v>
      </c>
      <c r="B307" s="66" t="s">
        <v>216</v>
      </c>
      <c r="C307" s="9" t="s">
        <v>71</v>
      </c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</row>
    <row r="308">
      <c r="A308" s="9" t="s">
        <v>206</v>
      </c>
      <c r="B308" s="66" t="s">
        <v>217</v>
      </c>
      <c r="C308" s="9" t="s">
        <v>28</v>
      </c>
      <c r="D308" s="43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</row>
    <row r="309">
      <c r="A309" s="9" t="s">
        <v>206</v>
      </c>
      <c r="B309" s="66" t="s">
        <v>217</v>
      </c>
      <c r="C309" s="9" t="s">
        <v>71</v>
      </c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</row>
    <row r="310">
      <c r="A310" s="9" t="s">
        <v>206</v>
      </c>
      <c r="B310" s="66" t="s">
        <v>218</v>
      </c>
      <c r="C310" s="9" t="s">
        <v>28</v>
      </c>
      <c r="D310" s="43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</row>
    <row r="311">
      <c r="A311" s="9" t="s">
        <v>206</v>
      </c>
      <c r="B311" s="66" t="s">
        <v>218</v>
      </c>
      <c r="C311" s="9" t="s">
        <v>71</v>
      </c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</row>
    <row r="312">
      <c r="A312" s="9" t="s">
        <v>206</v>
      </c>
      <c r="B312" s="66" t="s">
        <v>219</v>
      </c>
      <c r="C312" s="9" t="s">
        <v>28</v>
      </c>
      <c r="D312" s="43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</row>
    <row r="313">
      <c r="A313" s="9" t="s">
        <v>206</v>
      </c>
      <c r="B313" s="66" t="s">
        <v>219</v>
      </c>
      <c r="C313" s="9" t="s">
        <v>71</v>
      </c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</row>
    <row r="314">
      <c r="A314" s="44" t="s">
        <v>220</v>
      </c>
      <c r="B314" s="45" t="s">
        <v>221</v>
      </c>
      <c r="C314" s="44" t="s">
        <v>47</v>
      </c>
      <c r="D314" s="43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</row>
    <row r="315">
      <c r="A315" s="44" t="s">
        <v>220</v>
      </c>
      <c r="B315" s="45" t="s">
        <v>222</v>
      </c>
      <c r="C315" s="44" t="s">
        <v>47</v>
      </c>
      <c r="D315" s="43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</row>
    <row r="316">
      <c r="A316" s="44" t="s">
        <v>220</v>
      </c>
      <c r="B316" s="45" t="s">
        <v>223</v>
      </c>
      <c r="C316" s="44" t="s">
        <v>47</v>
      </c>
      <c r="D316" s="43"/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</row>
    <row r="317">
      <c r="A317" s="44" t="s">
        <v>220</v>
      </c>
      <c r="B317" s="45" t="s">
        <v>224</v>
      </c>
      <c r="C317" s="44" t="s">
        <v>47</v>
      </c>
      <c r="D317" s="43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</row>
    <row r="318">
      <c r="A318" s="44" t="s">
        <v>220</v>
      </c>
      <c r="B318" s="45" t="s">
        <v>225</v>
      </c>
      <c r="C318" s="44" t="s">
        <v>47</v>
      </c>
      <c r="D318" s="43"/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</row>
    <row r="319">
      <c r="A319" s="44" t="s">
        <v>220</v>
      </c>
      <c r="B319" s="45" t="s">
        <v>226</v>
      </c>
      <c r="C319" s="44" t="s">
        <v>47</v>
      </c>
      <c r="D319" s="43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</row>
    <row r="320">
      <c r="A320" s="44" t="s">
        <v>220</v>
      </c>
      <c r="B320" s="45" t="s">
        <v>227</v>
      </c>
      <c r="C320" s="44" t="s">
        <v>47</v>
      </c>
      <c r="D320" s="43"/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</row>
    <row r="321">
      <c r="A321" s="44" t="s">
        <v>220</v>
      </c>
      <c r="B321" s="45" t="s">
        <v>228</v>
      </c>
      <c r="C321" s="44" t="s">
        <v>47</v>
      </c>
      <c r="D321" s="43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</row>
    <row r="322">
      <c r="A322" s="49" t="s">
        <v>229</v>
      </c>
      <c r="B322" s="50" t="s">
        <v>230</v>
      </c>
      <c r="C322" s="49" t="s">
        <v>33</v>
      </c>
      <c r="D322" s="43"/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</row>
    <row r="323">
      <c r="A323" s="49" t="s">
        <v>229</v>
      </c>
      <c r="B323" s="50" t="s">
        <v>230</v>
      </c>
      <c r="C323" s="49" t="s">
        <v>49</v>
      </c>
      <c r="D323" s="43"/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</row>
    <row r="324">
      <c r="A324" s="49" t="s">
        <v>229</v>
      </c>
      <c r="B324" s="50" t="s">
        <v>230</v>
      </c>
      <c r="C324" s="49" t="s">
        <v>51</v>
      </c>
      <c r="D324" s="43"/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</row>
    <row r="325">
      <c r="A325" s="49" t="s">
        <v>229</v>
      </c>
      <c r="B325" s="50" t="s">
        <v>231</v>
      </c>
      <c r="C325" s="49" t="s">
        <v>33</v>
      </c>
      <c r="D325" s="43"/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</row>
    <row r="326">
      <c r="A326" s="49" t="s">
        <v>229</v>
      </c>
      <c r="B326" s="50" t="s">
        <v>231</v>
      </c>
      <c r="C326" s="49" t="s">
        <v>49</v>
      </c>
      <c r="D326" s="43"/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</row>
    <row r="327">
      <c r="A327" s="49" t="s">
        <v>229</v>
      </c>
      <c r="B327" s="50" t="s">
        <v>231</v>
      </c>
      <c r="C327" s="49" t="s">
        <v>51</v>
      </c>
      <c r="D327" s="43"/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</row>
    <row r="328">
      <c r="A328" s="49" t="s">
        <v>229</v>
      </c>
      <c r="B328" s="50" t="s">
        <v>232</v>
      </c>
      <c r="C328" s="49" t="s">
        <v>33</v>
      </c>
      <c r="D328" s="43"/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</row>
    <row r="329">
      <c r="A329" s="49" t="s">
        <v>229</v>
      </c>
      <c r="B329" s="50" t="s">
        <v>232</v>
      </c>
      <c r="C329" s="49" t="s">
        <v>49</v>
      </c>
      <c r="D329" s="43"/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</row>
    <row r="330">
      <c r="A330" s="49" t="s">
        <v>229</v>
      </c>
      <c r="B330" s="50" t="s">
        <v>232</v>
      </c>
      <c r="C330" s="49" t="s">
        <v>51</v>
      </c>
      <c r="D330" s="43"/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</row>
    <row r="331">
      <c r="A331" s="49" t="s">
        <v>229</v>
      </c>
      <c r="B331" s="50" t="s">
        <v>233</v>
      </c>
      <c r="C331" s="49" t="s">
        <v>33</v>
      </c>
      <c r="D331" s="43"/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</row>
    <row r="332">
      <c r="A332" s="49" t="s">
        <v>229</v>
      </c>
      <c r="B332" s="50" t="s">
        <v>233</v>
      </c>
      <c r="C332" s="49" t="s">
        <v>49</v>
      </c>
      <c r="D332" s="43"/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</row>
    <row r="333">
      <c r="A333" s="49" t="s">
        <v>229</v>
      </c>
      <c r="B333" s="50" t="s">
        <v>233</v>
      </c>
      <c r="C333" s="49" t="s">
        <v>51</v>
      </c>
      <c r="D333" s="43"/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</row>
    <row r="334">
      <c r="A334" s="49" t="s">
        <v>229</v>
      </c>
      <c r="B334" s="50" t="s">
        <v>234</v>
      </c>
      <c r="C334" s="49" t="s">
        <v>33</v>
      </c>
      <c r="D334" s="43"/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</row>
    <row r="335">
      <c r="A335" s="49" t="s">
        <v>229</v>
      </c>
      <c r="B335" s="50" t="s">
        <v>234</v>
      </c>
      <c r="C335" s="49" t="s">
        <v>49</v>
      </c>
      <c r="D335" s="43"/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</row>
    <row r="336">
      <c r="A336" s="49" t="s">
        <v>229</v>
      </c>
      <c r="B336" s="50" t="s">
        <v>234</v>
      </c>
      <c r="C336" s="49" t="s">
        <v>51</v>
      </c>
      <c r="D336" s="43"/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</row>
    <row r="337">
      <c r="A337" s="49" t="s">
        <v>229</v>
      </c>
      <c r="B337" s="50" t="s">
        <v>235</v>
      </c>
      <c r="C337" s="49" t="s">
        <v>33</v>
      </c>
      <c r="D337" s="43"/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</row>
    <row r="338">
      <c r="A338" s="49" t="s">
        <v>229</v>
      </c>
      <c r="B338" s="50" t="s">
        <v>235</v>
      </c>
      <c r="C338" s="49" t="s">
        <v>49</v>
      </c>
      <c r="D338" s="43"/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</row>
    <row r="339">
      <c r="A339" s="49" t="s">
        <v>229</v>
      </c>
      <c r="B339" s="50" t="s">
        <v>235</v>
      </c>
      <c r="C339" s="49" t="s">
        <v>51</v>
      </c>
      <c r="D339" s="43"/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</row>
    <row r="340">
      <c r="A340" s="49" t="s">
        <v>229</v>
      </c>
      <c r="B340" s="50" t="s">
        <v>236</v>
      </c>
      <c r="C340" s="49" t="s">
        <v>33</v>
      </c>
      <c r="D340" s="43"/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</row>
    <row r="341">
      <c r="A341" s="49" t="s">
        <v>229</v>
      </c>
      <c r="B341" s="50" t="s">
        <v>236</v>
      </c>
      <c r="C341" s="49" t="s">
        <v>49</v>
      </c>
      <c r="D341" s="43"/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</row>
    <row r="342">
      <c r="A342" s="49" t="s">
        <v>229</v>
      </c>
      <c r="B342" s="50" t="s">
        <v>236</v>
      </c>
      <c r="C342" s="49" t="s">
        <v>51</v>
      </c>
      <c r="D342" s="43"/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</row>
    <row r="343">
      <c r="A343" s="49" t="s">
        <v>229</v>
      </c>
      <c r="B343" s="50" t="s">
        <v>237</v>
      </c>
      <c r="C343" s="49" t="s">
        <v>33</v>
      </c>
      <c r="D343" s="43"/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</row>
    <row r="344">
      <c r="A344" s="49" t="s">
        <v>229</v>
      </c>
      <c r="B344" s="50" t="s">
        <v>237</v>
      </c>
      <c r="C344" s="49" t="s">
        <v>49</v>
      </c>
      <c r="D344" s="43"/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</row>
    <row r="345">
      <c r="A345" s="49" t="s">
        <v>229</v>
      </c>
      <c r="B345" s="50" t="s">
        <v>237</v>
      </c>
      <c r="C345" s="49" t="s">
        <v>51</v>
      </c>
      <c r="D345" s="43"/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</row>
    <row r="346">
      <c r="A346" s="49" t="s">
        <v>229</v>
      </c>
      <c r="B346" s="50" t="s">
        <v>238</v>
      </c>
      <c r="C346" s="49" t="s">
        <v>33</v>
      </c>
      <c r="D346" s="43"/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</row>
    <row r="347">
      <c r="A347" s="49" t="s">
        <v>229</v>
      </c>
      <c r="B347" s="50" t="s">
        <v>238</v>
      </c>
      <c r="C347" s="49" t="s">
        <v>49</v>
      </c>
      <c r="D347" s="43"/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</row>
    <row r="348">
      <c r="A348" s="49" t="s">
        <v>229</v>
      </c>
      <c r="B348" s="50" t="s">
        <v>238</v>
      </c>
      <c r="C348" s="49" t="s">
        <v>51</v>
      </c>
      <c r="D348" s="43"/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</row>
    <row r="349">
      <c r="A349" s="49" t="s">
        <v>229</v>
      </c>
      <c r="B349" s="50" t="s">
        <v>239</v>
      </c>
      <c r="C349" s="49" t="s">
        <v>33</v>
      </c>
      <c r="D349" s="43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</row>
    <row r="350">
      <c r="A350" s="49" t="s">
        <v>229</v>
      </c>
      <c r="B350" s="50" t="s">
        <v>239</v>
      </c>
      <c r="C350" s="49" t="s">
        <v>49</v>
      </c>
      <c r="D350" s="43"/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</row>
    <row r="351">
      <c r="A351" s="49" t="s">
        <v>229</v>
      </c>
      <c r="B351" s="50" t="s">
        <v>239</v>
      </c>
      <c r="C351" s="49" t="s">
        <v>51</v>
      </c>
      <c r="D351" s="43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</row>
    <row r="352">
      <c r="A352" s="49" t="s">
        <v>229</v>
      </c>
      <c r="B352" s="50" t="s">
        <v>240</v>
      </c>
      <c r="C352" s="49" t="s">
        <v>33</v>
      </c>
      <c r="D352" s="43"/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</row>
    <row r="353">
      <c r="A353" s="49" t="s">
        <v>229</v>
      </c>
      <c r="B353" s="50" t="s">
        <v>240</v>
      </c>
      <c r="C353" s="49" t="s">
        <v>49</v>
      </c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</row>
    <row r="354">
      <c r="A354" s="49" t="s">
        <v>229</v>
      </c>
      <c r="B354" s="50" t="s">
        <v>240</v>
      </c>
      <c r="C354" s="49" t="s">
        <v>51</v>
      </c>
      <c r="D354" s="43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</row>
    <row r="355">
      <c r="A355" s="49" t="s">
        <v>229</v>
      </c>
      <c r="B355" s="50" t="s">
        <v>241</v>
      </c>
      <c r="C355" s="49" t="s">
        <v>33</v>
      </c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</row>
    <row r="356">
      <c r="A356" s="49" t="s">
        <v>229</v>
      </c>
      <c r="B356" s="50" t="s">
        <v>241</v>
      </c>
      <c r="C356" s="49" t="s">
        <v>49</v>
      </c>
      <c r="D356" s="43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</row>
    <row r="357">
      <c r="A357" s="49" t="s">
        <v>229</v>
      </c>
      <c r="B357" s="50" t="s">
        <v>241</v>
      </c>
      <c r="C357" s="49" t="s">
        <v>51</v>
      </c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</row>
    <row r="358">
      <c r="A358" s="49" t="s">
        <v>229</v>
      </c>
      <c r="B358" s="50" t="s">
        <v>242</v>
      </c>
      <c r="C358" s="49" t="s">
        <v>33</v>
      </c>
      <c r="D358" s="43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</row>
    <row r="359">
      <c r="A359" s="49" t="s">
        <v>229</v>
      </c>
      <c r="B359" s="50" t="s">
        <v>242</v>
      </c>
      <c r="C359" s="49" t="s">
        <v>49</v>
      </c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</row>
    <row r="360">
      <c r="A360" s="49" t="s">
        <v>229</v>
      </c>
      <c r="B360" s="50" t="s">
        <v>242</v>
      </c>
      <c r="C360" s="49" t="s">
        <v>51</v>
      </c>
      <c r="D360" s="43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</row>
    <row r="361">
      <c r="A361" s="6" t="s">
        <v>243</v>
      </c>
      <c r="B361" s="51" t="s">
        <v>244</v>
      </c>
      <c r="C361" s="6" t="s">
        <v>33</v>
      </c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</row>
    <row r="362">
      <c r="A362" s="6" t="s">
        <v>243</v>
      </c>
      <c r="B362" s="51" t="s">
        <v>244</v>
      </c>
      <c r="C362" s="6" t="s">
        <v>38</v>
      </c>
      <c r="D362" s="43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</row>
    <row r="363">
      <c r="A363" s="6" t="s">
        <v>243</v>
      </c>
      <c r="B363" s="51" t="s">
        <v>244</v>
      </c>
      <c r="C363" s="6" t="s">
        <v>245</v>
      </c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</row>
    <row r="364">
      <c r="A364" s="6" t="s">
        <v>243</v>
      </c>
      <c r="B364" s="51" t="s">
        <v>246</v>
      </c>
      <c r="C364" s="6" t="s">
        <v>33</v>
      </c>
      <c r="D364" s="43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</row>
    <row r="365">
      <c r="A365" s="6" t="s">
        <v>243</v>
      </c>
      <c r="B365" s="51" t="s">
        <v>246</v>
      </c>
      <c r="C365" s="6" t="s">
        <v>38</v>
      </c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</row>
    <row r="366">
      <c r="A366" s="6" t="s">
        <v>243</v>
      </c>
      <c r="B366" s="51" t="s">
        <v>246</v>
      </c>
      <c r="C366" s="6" t="s">
        <v>68</v>
      </c>
      <c r="D366" s="43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</row>
    <row r="367">
      <c r="A367" s="6" t="s">
        <v>243</v>
      </c>
      <c r="B367" s="51" t="s">
        <v>247</v>
      </c>
      <c r="C367" s="6" t="s">
        <v>33</v>
      </c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</row>
    <row r="368">
      <c r="A368" s="6" t="s">
        <v>243</v>
      </c>
      <c r="B368" s="51" t="s">
        <v>247</v>
      </c>
      <c r="C368" s="6" t="s">
        <v>38</v>
      </c>
      <c r="D368" s="43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</row>
    <row r="369">
      <c r="A369" s="6" t="s">
        <v>243</v>
      </c>
      <c r="B369" s="51" t="s">
        <v>247</v>
      </c>
      <c r="C369" s="6" t="s">
        <v>68</v>
      </c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</row>
    <row r="370">
      <c r="A370" s="12" t="s">
        <v>248</v>
      </c>
      <c r="B370" s="52" t="s">
        <v>249</v>
      </c>
      <c r="C370" s="12" t="s">
        <v>53</v>
      </c>
      <c r="D370" s="43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</row>
    <row r="371">
      <c r="A371" s="12" t="s">
        <v>248</v>
      </c>
      <c r="B371" s="52" t="s">
        <v>249</v>
      </c>
      <c r="C371" s="12" t="s">
        <v>63</v>
      </c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</row>
    <row r="372">
      <c r="A372" s="12" t="s">
        <v>248</v>
      </c>
      <c r="B372" s="52" t="s">
        <v>249</v>
      </c>
      <c r="C372" s="12" t="s">
        <v>65</v>
      </c>
      <c r="D372" s="43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</row>
    <row r="373">
      <c r="A373" s="12" t="s">
        <v>248</v>
      </c>
      <c r="B373" s="52" t="s">
        <v>250</v>
      </c>
      <c r="C373" s="12" t="s">
        <v>53</v>
      </c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</row>
    <row r="374">
      <c r="A374" s="12" t="s">
        <v>248</v>
      </c>
      <c r="B374" s="52" t="s">
        <v>250</v>
      </c>
      <c r="C374" s="12" t="s">
        <v>63</v>
      </c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</row>
    <row r="375">
      <c r="A375" s="12" t="s">
        <v>248</v>
      </c>
      <c r="B375" s="52" t="s">
        <v>250</v>
      </c>
      <c r="C375" s="12" t="s">
        <v>65</v>
      </c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</row>
    <row r="376">
      <c r="A376" s="12" t="s">
        <v>248</v>
      </c>
      <c r="B376" s="52" t="s">
        <v>251</v>
      </c>
      <c r="C376" s="12" t="s">
        <v>53</v>
      </c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</row>
    <row r="377">
      <c r="A377" s="12" t="s">
        <v>248</v>
      </c>
      <c r="B377" s="52" t="s">
        <v>251</v>
      </c>
      <c r="C377" s="12" t="s">
        <v>63</v>
      </c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</row>
    <row r="378">
      <c r="A378" s="12" t="s">
        <v>248</v>
      </c>
      <c r="B378" s="52" t="s">
        <v>251</v>
      </c>
      <c r="C378" s="12" t="s">
        <v>65</v>
      </c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</row>
    <row r="379">
      <c r="A379" s="12" t="s">
        <v>248</v>
      </c>
      <c r="B379" s="52" t="s">
        <v>252</v>
      </c>
      <c r="C379" s="12" t="s">
        <v>53</v>
      </c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</row>
    <row r="380">
      <c r="A380" s="12" t="s">
        <v>248</v>
      </c>
      <c r="B380" s="52" t="s">
        <v>252</v>
      </c>
      <c r="C380" s="12" t="s">
        <v>63</v>
      </c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</row>
    <row r="381">
      <c r="A381" s="12" t="s">
        <v>248</v>
      </c>
      <c r="B381" s="52" t="s">
        <v>252</v>
      </c>
      <c r="C381" s="12" t="s">
        <v>65</v>
      </c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</row>
    <row r="382">
      <c r="A382" s="12" t="s">
        <v>248</v>
      </c>
      <c r="B382" s="52" t="s">
        <v>253</v>
      </c>
      <c r="C382" s="12" t="s">
        <v>53</v>
      </c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</row>
    <row r="383">
      <c r="A383" s="12" t="s">
        <v>248</v>
      </c>
      <c r="B383" s="52" t="s">
        <v>253</v>
      </c>
      <c r="C383" s="12" t="s">
        <v>63</v>
      </c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</row>
    <row r="384">
      <c r="A384" s="12" t="s">
        <v>248</v>
      </c>
      <c r="B384" s="52" t="s">
        <v>253</v>
      </c>
      <c r="C384" s="12" t="s">
        <v>65</v>
      </c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</row>
    <row r="385">
      <c r="A385" s="12" t="s">
        <v>248</v>
      </c>
      <c r="B385" s="67" t="s">
        <v>254</v>
      </c>
      <c r="C385" s="68" t="s">
        <v>53</v>
      </c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</row>
    <row r="386">
      <c r="A386" s="12" t="s">
        <v>248</v>
      </c>
      <c r="B386" s="67" t="s">
        <v>254</v>
      </c>
      <c r="C386" s="68" t="s">
        <v>63</v>
      </c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</row>
    <row r="387">
      <c r="A387" s="12" t="s">
        <v>248</v>
      </c>
      <c r="B387" s="67" t="s">
        <v>254</v>
      </c>
      <c r="C387" s="68" t="s">
        <v>65</v>
      </c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</row>
    <row r="388">
      <c r="A388" s="12" t="s">
        <v>248</v>
      </c>
      <c r="B388" s="67" t="s">
        <v>255</v>
      </c>
      <c r="C388" s="68" t="s">
        <v>53</v>
      </c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</row>
    <row r="389">
      <c r="A389" s="12" t="s">
        <v>248</v>
      </c>
      <c r="B389" s="67" t="s">
        <v>255</v>
      </c>
      <c r="C389" s="68" t="s">
        <v>63</v>
      </c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</row>
    <row r="390">
      <c r="A390" s="12" t="s">
        <v>248</v>
      </c>
      <c r="B390" s="67" t="s">
        <v>255</v>
      </c>
      <c r="C390" s="68" t="s">
        <v>65</v>
      </c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</row>
    <row r="391">
      <c r="A391" s="12" t="s">
        <v>248</v>
      </c>
      <c r="B391" s="67" t="s">
        <v>256</v>
      </c>
      <c r="C391" s="68" t="s">
        <v>53</v>
      </c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</row>
    <row r="392">
      <c r="A392" s="12" t="s">
        <v>248</v>
      </c>
      <c r="B392" s="67" t="s">
        <v>256</v>
      </c>
      <c r="C392" s="68" t="s">
        <v>63</v>
      </c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</row>
    <row r="393">
      <c r="A393" s="12" t="s">
        <v>248</v>
      </c>
      <c r="B393" s="67" t="s">
        <v>256</v>
      </c>
      <c r="C393" s="68" t="s">
        <v>65</v>
      </c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</row>
    <row r="394">
      <c r="A394" s="12" t="s">
        <v>248</v>
      </c>
      <c r="B394" s="67" t="s">
        <v>257</v>
      </c>
      <c r="C394" s="68" t="s">
        <v>53</v>
      </c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</row>
    <row r="395">
      <c r="A395" s="12" t="s">
        <v>248</v>
      </c>
      <c r="B395" s="67" t="s">
        <v>257</v>
      </c>
      <c r="C395" s="68" t="s">
        <v>63</v>
      </c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</row>
    <row r="396">
      <c r="A396" s="12" t="s">
        <v>248</v>
      </c>
      <c r="B396" s="67" t="s">
        <v>257</v>
      </c>
      <c r="C396" s="68" t="s">
        <v>65</v>
      </c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</row>
    <row r="397">
      <c r="A397" s="12" t="s">
        <v>248</v>
      </c>
      <c r="B397" s="67" t="s">
        <v>258</v>
      </c>
      <c r="C397" s="68" t="s">
        <v>53</v>
      </c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</row>
    <row r="398">
      <c r="A398" s="12" t="s">
        <v>248</v>
      </c>
      <c r="B398" s="67" t="s">
        <v>258</v>
      </c>
      <c r="C398" s="68" t="s">
        <v>63</v>
      </c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</row>
    <row r="399">
      <c r="A399" s="12" t="s">
        <v>248</v>
      </c>
      <c r="B399" s="67" t="s">
        <v>258</v>
      </c>
      <c r="C399" s="68" t="s">
        <v>65</v>
      </c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</row>
    <row r="400">
      <c r="A400" s="12" t="s">
        <v>248</v>
      </c>
      <c r="B400" s="67" t="s">
        <v>259</v>
      </c>
      <c r="C400" s="68" t="s">
        <v>53</v>
      </c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</row>
    <row r="401">
      <c r="A401" s="12" t="s">
        <v>248</v>
      </c>
      <c r="B401" s="67" t="s">
        <v>259</v>
      </c>
      <c r="C401" s="68" t="s">
        <v>63</v>
      </c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</row>
    <row r="402">
      <c r="A402" s="12" t="s">
        <v>248</v>
      </c>
      <c r="B402" s="67" t="s">
        <v>259</v>
      </c>
      <c r="C402" s="68" t="s">
        <v>65</v>
      </c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</row>
    <row r="403">
      <c r="A403" s="12" t="s">
        <v>248</v>
      </c>
      <c r="B403" s="67" t="s">
        <v>260</v>
      </c>
      <c r="C403" s="68" t="s">
        <v>53</v>
      </c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</row>
    <row r="404">
      <c r="A404" s="12" t="s">
        <v>248</v>
      </c>
      <c r="B404" s="67" t="s">
        <v>260</v>
      </c>
      <c r="C404" s="68" t="s">
        <v>63</v>
      </c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</row>
    <row r="405">
      <c r="A405" s="12" t="s">
        <v>248</v>
      </c>
      <c r="B405" s="67" t="s">
        <v>260</v>
      </c>
      <c r="C405" s="68" t="s">
        <v>65</v>
      </c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</row>
    <row r="406">
      <c r="A406" s="12" t="s">
        <v>248</v>
      </c>
      <c r="B406" s="67" t="s">
        <v>261</v>
      </c>
      <c r="C406" s="68" t="s">
        <v>53</v>
      </c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</row>
    <row r="407">
      <c r="A407" s="12" t="s">
        <v>248</v>
      </c>
      <c r="B407" s="67" t="s">
        <v>261</v>
      </c>
      <c r="C407" s="68" t="s">
        <v>63</v>
      </c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</row>
    <row r="408">
      <c r="A408" s="12" t="s">
        <v>248</v>
      </c>
      <c r="B408" s="67" t="s">
        <v>261</v>
      </c>
      <c r="C408" s="68" t="s">
        <v>65</v>
      </c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</row>
    <row r="409">
      <c r="A409" s="12" t="s">
        <v>248</v>
      </c>
      <c r="B409" s="67" t="s">
        <v>262</v>
      </c>
      <c r="C409" s="68" t="s">
        <v>53</v>
      </c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</row>
    <row r="410">
      <c r="A410" s="12" t="s">
        <v>248</v>
      </c>
      <c r="B410" s="67" t="s">
        <v>262</v>
      </c>
      <c r="C410" s="68" t="s">
        <v>63</v>
      </c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</row>
    <row r="411">
      <c r="A411" s="12" t="s">
        <v>248</v>
      </c>
      <c r="B411" s="67" t="s">
        <v>262</v>
      </c>
      <c r="C411" s="68" t="s">
        <v>65</v>
      </c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</row>
    <row r="412">
      <c r="A412" s="12" t="s">
        <v>248</v>
      </c>
      <c r="B412" s="67" t="s">
        <v>263</v>
      </c>
      <c r="C412" s="68" t="s">
        <v>53</v>
      </c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</row>
    <row r="413">
      <c r="A413" s="12" t="s">
        <v>248</v>
      </c>
      <c r="B413" s="67" t="s">
        <v>263</v>
      </c>
      <c r="C413" s="68" t="s">
        <v>63</v>
      </c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</row>
    <row r="414">
      <c r="A414" s="12" t="s">
        <v>248</v>
      </c>
      <c r="B414" s="67" t="s">
        <v>263</v>
      </c>
      <c r="C414" s="68" t="s">
        <v>65</v>
      </c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</row>
    <row r="415">
      <c r="A415" s="12" t="s">
        <v>248</v>
      </c>
      <c r="B415" s="67" t="s">
        <v>264</v>
      </c>
      <c r="C415" s="68" t="s">
        <v>53</v>
      </c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</row>
    <row r="416">
      <c r="A416" s="12" t="s">
        <v>248</v>
      </c>
      <c r="B416" s="67" t="s">
        <v>264</v>
      </c>
      <c r="C416" s="68" t="s">
        <v>63</v>
      </c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</row>
    <row r="417">
      <c r="A417" s="12" t="s">
        <v>248</v>
      </c>
      <c r="B417" s="67" t="s">
        <v>264</v>
      </c>
      <c r="C417" s="68" t="s">
        <v>65</v>
      </c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</row>
    <row r="418">
      <c r="A418" s="12" t="s">
        <v>248</v>
      </c>
      <c r="B418" s="67" t="s">
        <v>265</v>
      </c>
      <c r="C418" s="68" t="s">
        <v>53</v>
      </c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</row>
    <row r="419">
      <c r="A419" s="12" t="s">
        <v>248</v>
      </c>
      <c r="B419" s="67" t="s">
        <v>265</v>
      </c>
      <c r="C419" s="68" t="s">
        <v>63</v>
      </c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</row>
    <row r="420">
      <c r="A420" s="12" t="s">
        <v>248</v>
      </c>
      <c r="B420" s="67" t="s">
        <v>265</v>
      </c>
      <c r="C420" s="68" t="s">
        <v>65</v>
      </c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</row>
    <row r="421">
      <c r="A421" s="12" t="s">
        <v>248</v>
      </c>
      <c r="B421" s="67" t="s">
        <v>266</v>
      </c>
      <c r="C421" s="68" t="s">
        <v>53</v>
      </c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</row>
    <row r="422">
      <c r="A422" s="12" t="s">
        <v>248</v>
      </c>
      <c r="B422" s="67" t="s">
        <v>266</v>
      </c>
      <c r="C422" s="68" t="s">
        <v>63</v>
      </c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</row>
    <row r="423">
      <c r="A423" s="12" t="s">
        <v>248</v>
      </c>
      <c r="B423" s="67" t="s">
        <v>266</v>
      </c>
      <c r="C423" s="68" t="s">
        <v>65</v>
      </c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</row>
    <row r="424">
      <c r="A424" s="12" t="s">
        <v>248</v>
      </c>
      <c r="B424" s="67" t="s">
        <v>267</v>
      </c>
      <c r="C424" s="68" t="s">
        <v>53</v>
      </c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</row>
    <row r="425">
      <c r="A425" s="12" t="s">
        <v>248</v>
      </c>
      <c r="B425" s="67" t="s">
        <v>267</v>
      </c>
      <c r="C425" s="68" t="s">
        <v>63</v>
      </c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</row>
    <row r="426">
      <c r="A426" s="12" t="s">
        <v>248</v>
      </c>
      <c r="B426" s="67" t="s">
        <v>267</v>
      </c>
      <c r="C426" s="68" t="s">
        <v>65</v>
      </c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</row>
    <row r="427">
      <c r="A427" s="12" t="s">
        <v>248</v>
      </c>
      <c r="B427" s="67" t="s">
        <v>268</v>
      </c>
      <c r="C427" s="68" t="s">
        <v>53</v>
      </c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</row>
    <row r="428">
      <c r="A428" s="12" t="s">
        <v>248</v>
      </c>
      <c r="B428" s="67" t="s">
        <v>268</v>
      </c>
      <c r="C428" s="68" t="s">
        <v>63</v>
      </c>
      <c r="D428" s="43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</row>
    <row r="429">
      <c r="A429" s="12" t="s">
        <v>248</v>
      </c>
      <c r="B429" s="67" t="s">
        <v>268</v>
      </c>
      <c r="C429" s="68" t="s">
        <v>65</v>
      </c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</row>
    <row r="430">
      <c r="A430" s="12" t="s">
        <v>248</v>
      </c>
      <c r="B430" s="67" t="s">
        <v>269</v>
      </c>
      <c r="C430" s="68" t="s">
        <v>53</v>
      </c>
      <c r="D430" s="43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</row>
    <row r="431">
      <c r="A431" s="12" t="s">
        <v>248</v>
      </c>
      <c r="B431" s="67" t="s">
        <v>269</v>
      </c>
      <c r="C431" s="68" t="s">
        <v>63</v>
      </c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</row>
    <row r="432">
      <c r="A432" s="12" t="s">
        <v>248</v>
      </c>
      <c r="B432" s="67" t="s">
        <v>269</v>
      </c>
      <c r="C432" s="68" t="s">
        <v>65</v>
      </c>
      <c r="D432" s="43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</row>
    <row r="433">
      <c r="A433" s="12" t="s">
        <v>248</v>
      </c>
      <c r="B433" s="67" t="s">
        <v>270</v>
      </c>
      <c r="C433" s="68" t="s">
        <v>53</v>
      </c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</row>
    <row r="434">
      <c r="A434" s="12" t="s">
        <v>248</v>
      </c>
      <c r="B434" s="67" t="s">
        <v>270</v>
      </c>
      <c r="C434" s="68" t="s">
        <v>63</v>
      </c>
      <c r="D434" s="43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</row>
    <row r="435">
      <c r="A435" s="12" t="s">
        <v>248</v>
      </c>
      <c r="B435" s="67" t="s">
        <v>270</v>
      </c>
      <c r="C435" s="68" t="s">
        <v>65</v>
      </c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</row>
    <row r="436">
      <c r="A436" s="12" t="s">
        <v>248</v>
      </c>
      <c r="B436" s="67" t="s">
        <v>271</v>
      </c>
      <c r="C436" s="68" t="s">
        <v>53</v>
      </c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</row>
    <row r="437">
      <c r="A437" s="12" t="s">
        <v>248</v>
      </c>
      <c r="B437" s="67" t="s">
        <v>271</v>
      </c>
      <c r="C437" s="68" t="s">
        <v>63</v>
      </c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</row>
    <row r="438">
      <c r="A438" s="12" t="s">
        <v>248</v>
      </c>
      <c r="B438" s="67" t="s">
        <v>271</v>
      </c>
      <c r="C438" s="68" t="s">
        <v>65</v>
      </c>
      <c r="D438" s="43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</row>
    <row r="439">
      <c r="A439" s="12" t="s">
        <v>248</v>
      </c>
      <c r="B439" s="67" t="s">
        <v>272</v>
      </c>
      <c r="C439" s="68" t="s">
        <v>53</v>
      </c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</row>
    <row r="440">
      <c r="A440" s="12" t="s">
        <v>248</v>
      </c>
      <c r="B440" s="67" t="s">
        <v>272</v>
      </c>
      <c r="C440" s="68" t="s">
        <v>63</v>
      </c>
      <c r="D440" s="43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</row>
    <row r="441">
      <c r="A441" s="12" t="s">
        <v>248</v>
      </c>
      <c r="B441" s="67" t="s">
        <v>272</v>
      </c>
      <c r="C441" s="68" t="s">
        <v>65</v>
      </c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</row>
    <row r="442">
      <c r="A442" s="12" t="s">
        <v>248</v>
      </c>
      <c r="B442" s="67" t="s">
        <v>273</v>
      </c>
      <c r="C442" s="68" t="s">
        <v>53</v>
      </c>
      <c r="D442" s="43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</row>
    <row r="443">
      <c r="A443" s="12" t="s">
        <v>248</v>
      </c>
      <c r="B443" s="67" t="s">
        <v>273</v>
      </c>
      <c r="C443" s="68" t="s">
        <v>63</v>
      </c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</row>
    <row r="444">
      <c r="A444" s="12" t="s">
        <v>248</v>
      </c>
      <c r="B444" s="67" t="s">
        <v>273</v>
      </c>
      <c r="C444" s="68" t="s">
        <v>65</v>
      </c>
      <c r="D444" s="43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</row>
    <row r="445">
      <c r="A445" s="12" t="s">
        <v>248</v>
      </c>
      <c r="B445" s="67" t="s">
        <v>274</v>
      </c>
      <c r="C445" s="68" t="s">
        <v>53</v>
      </c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</row>
    <row r="446">
      <c r="A446" s="12" t="s">
        <v>248</v>
      </c>
      <c r="B446" s="67" t="s">
        <v>274</v>
      </c>
      <c r="C446" s="68" t="s">
        <v>63</v>
      </c>
      <c r="D446" s="43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</row>
    <row r="447">
      <c r="A447" s="12" t="s">
        <v>248</v>
      </c>
      <c r="B447" s="67" t="s">
        <v>274</v>
      </c>
      <c r="C447" s="68" t="s">
        <v>65</v>
      </c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</row>
    <row r="448">
      <c r="A448" s="12" t="s">
        <v>248</v>
      </c>
      <c r="B448" s="67" t="s">
        <v>275</v>
      </c>
      <c r="C448" s="68" t="s">
        <v>53</v>
      </c>
      <c r="D448" s="43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</row>
    <row r="449">
      <c r="A449" s="12" t="s">
        <v>248</v>
      </c>
      <c r="B449" s="67" t="s">
        <v>275</v>
      </c>
      <c r="C449" s="68" t="s">
        <v>63</v>
      </c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</row>
    <row r="450">
      <c r="A450" s="12" t="s">
        <v>248</v>
      </c>
      <c r="B450" s="67" t="s">
        <v>275</v>
      </c>
      <c r="C450" s="68" t="s">
        <v>65</v>
      </c>
      <c r="D450" s="43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</row>
    <row r="451">
      <c r="A451" s="12" t="s">
        <v>248</v>
      </c>
      <c r="B451" s="67" t="s">
        <v>276</v>
      </c>
      <c r="C451" s="68" t="s">
        <v>53</v>
      </c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</row>
    <row r="452">
      <c r="A452" s="12" t="s">
        <v>248</v>
      </c>
      <c r="B452" s="67" t="s">
        <v>276</v>
      </c>
      <c r="C452" s="68" t="s">
        <v>63</v>
      </c>
      <c r="D452" s="43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</row>
    <row r="453">
      <c r="A453" s="12" t="s">
        <v>248</v>
      </c>
      <c r="B453" s="67" t="s">
        <v>276</v>
      </c>
      <c r="C453" s="68" t="s">
        <v>65</v>
      </c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</row>
    <row r="454">
      <c r="A454" s="12" t="s">
        <v>248</v>
      </c>
      <c r="B454" s="67" t="s">
        <v>277</v>
      </c>
      <c r="C454" s="68" t="s">
        <v>53</v>
      </c>
      <c r="D454" s="43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</row>
    <row r="455">
      <c r="A455" s="12" t="s">
        <v>248</v>
      </c>
      <c r="B455" s="67" t="s">
        <v>277</v>
      </c>
      <c r="C455" s="68" t="s">
        <v>63</v>
      </c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</row>
    <row r="456">
      <c r="A456" s="12" t="s">
        <v>248</v>
      </c>
      <c r="B456" s="67" t="s">
        <v>277</v>
      </c>
      <c r="C456" s="68" t="s">
        <v>65</v>
      </c>
      <c r="D456" s="43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</row>
    <row r="457">
      <c r="A457" s="12" t="s">
        <v>248</v>
      </c>
      <c r="B457" s="67" t="s">
        <v>278</v>
      </c>
      <c r="C457" s="68" t="s">
        <v>53</v>
      </c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</row>
    <row r="458">
      <c r="A458" s="12" t="s">
        <v>248</v>
      </c>
      <c r="B458" s="67" t="s">
        <v>278</v>
      </c>
      <c r="C458" s="68" t="s">
        <v>63</v>
      </c>
      <c r="D458" s="43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</row>
    <row r="459">
      <c r="A459" s="12" t="s">
        <v>248</v>
      </c>
      <c r="B459" s="67" t="s">
        <v>278</v>
      </c>
      <c r="C459" s="68" t="s">
        <v>65</v>
      </c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</row>
    <row r="460">
      <c r="A460" s="12" t="s">
        <v>248</v>
      </c>
      <c r="B460" s="67" t="s">
        <v>279</v>
      </c>
      <c r="C460" s="68" t="s">
        <v>53</v>
      </c>
      <c r="D460" s="43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</row>
    <row r="461">
      <c r="A461" s="12" t="s">
        <v>248</v>
      </c>
      <c r="B461" s="67" t="s">
        <v>279</v>
      </c>
      <c r="C461" s="68" t="s">
        <v>63</v>
      </c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</row>
    <row r="462">
      <c r="A462" s="12" t="s">
        <v>248</v>
      </c>
      <c r="B462" s="67" t="s">
        <v>279</v>
      </c>
      <c r="C462" s="68" t="s">
        <v>65</v>
      </c>
      <c r="D462" s="43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</row>
    <row r="463">
      <c r="A463" s="12" t="s">
        <v>248</v>
      </c>
      <c r="B463" s="67" t="s">
        <v>280</v>
      </c>
      <c r="C463" s="68" t="s">
        <v>53</v>
      </c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</row>
    <row r="464">
      <c r="A464" s="12" t="s">
        <v>248</v>
      </c>
      <c r="B464" s="67" t="s">
        <v>280</v>
      </c>
      <c r="C464" s="68" t="s">
        <v>63</v>
      </c>
      <c r="D464" s="43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</row>
    <row r="465">
      <c r="A465" s="12" t="s">
        <v>248</v>
      </c>
      <c r="B465" s="67" t="s">
        <v>280</v>
      </c>
      <c r="C465" s="68" t="s">
        <v>65</v>
      </c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</row>
    <row r="466">
      <c r="A466" s="12" t="s">
        <v>248</v>
      </c>
      <c r="B466" s="67" t="s">
        <v>281</v>
      </c>
      <c r="C466" s="68" t="s">
        <v>53</v>
      </c>
      <c r="D466" s="43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</row>
    <row r="467">
      <c r="A467" s="12" t="s">
        <v>248</v>
      </c>
      <c r="B467" s="67" t="s">
        <v>281</v>
      </c>
      <c r="C467" s="68" t="s">
        <v>63</v>
      </c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</row>
    <row r="468">
      <c r="A468" s="12" t="s">
        <v>248</v>
      </c>
      <c r="B468" s="67" t="s">
        <v>281</v>
      </c>
      <c r="C468" s="68" t="s">
        <v>65</v>
      </c>
      <c r="D468" s="43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</row>
    <row r="469">
      <c r="A469" s="12" t="s">
        <v>248</v>
      </c>
      <c r="B469" s="67" t="s">
        <v>282</v>
      </c>
      <c r="C469" s="68" t="s">
        <v>53</v>
      </c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</row>
    <row r="470">
      <c r="A470" s="12" t="s">
        <v>248</v>
      </c>
      <c r="B470" s="67" t="s">
        <v>282</v>
      </c>
      <c r="C470" s="68" t="s">
        <v>63</v>
      </c>
      <c r="D470" s="43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</row>
    <row r="471">
      <c r="A471" s="12" t="s">
        <v>248</v>
      </c>
      <c r="B471" s="67" t="s">
        <v>282</v>
      </c>
      <c r="C471" s="68" t="s">
        <v>65</v>
      </c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</row>
    <row r="472">
      <c r="A472" s="12" t="s">
        <v>248</v>
      </c>
      <c r="B472" s="67" t="s">
        <v>283</v>
      </c>
      <c r="C472" s="68" t="s">
        <v>53</v>
      </c>
      <c r="D472" s="43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</row>
    <row r="473">
      <c r="A473" s="12" t="s">
        <v>248</v>
      </c>
      <c r="B473" s="67" t="s">
        <v>283</v>
      </c>
      <c r="C473" s="68" t="s">
        <v>63</v>
      </c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</row>
    <row r="474">
      <c r="A474" s="12" t="s">
        <v>248</v>
      </c>
      <c r="B474" s="67" t="s">
        <v>283</v>
      </c>
      <c r="C474" s="68" t="s">
        <v>65</v>
      </c>
      <c r="D474" s="43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</row>
    <row r="475">
      <c r="A475" s="12" t="s">
        <v>248</v>
      </c>
      <c r="B475" s="67" t="s">
        <v>284</v>
      </c>
      <c r="C475" s="68" t="s">
        <v>53</v>
      </c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</row>
    <row r="476">
      <c r="A476" s="12" t="s">
        <v>248</v>
      </c>
      <c r="B476" s="67" t="s">
        <v>284</v>
      </c>
      <c r="C476" s="68" t="s">
        <v>63</v>
      </c>
      <c r="D476" s="43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</row>
    <row r="477">
      <c r="A477" s="12" t="s">
        <v>248</v>
      </c>
      <c r="B477" s="67" t="s">
        <v>284</v>
      </c>
      <c r="C477" s="68" t="s">
        <v>65</v>
      </c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</row>
    <row r="478">
      <c r="A478" s="12" t="s">
        <v>248</v>
      </c>
      <c r="B478" s="67" t="s">
        <v>285</v>
      </c>
      <c r="C478" s="68" t="s">
        <v>53</v>
      </c>
      <c r="D478" s="43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</row>
    <row r="479">
      <c r="A479" s="12" t="s">
        <v>248</v>
      </c>
      <c r="B479" s="67" t="s">
        <v>285</v>
      </c>
      <c r="C479" s="68" t="s">
        <v>63</v>
      </c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</row>
    <row r="480">
      <c r="A480" s="12" t="s">
        <v>248</v>
      </c>
      <c r="B480" s="67" t="s">
        <v>285</v>
      </c>
      <c r="C480" s="68" t="s">
        <v>65</v>
      </c>
      <c r="D480" s="43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</row>
    <row r="481">
      <c r="A481" s="12" t="s">
        <v>248</v>
      </c>
      <c r="B481" s="67" t="s">
        <v>286</v>
      </c>
      <c r="C481" s="68" t="s">
        <v>53</v>
      </c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</row>
    <row r="482">
      <c r="A482" s="12" t="s">
        <v>248</v>
      </c>
      <c r="B482" s="67" t="s">
        <v>286</v>
      </c>
      <c r="C482" s="68" t="s">
        <v>63</v>
      </c>
      <c r="D482" s="43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</row>
    <row r="483">
      <c r="A483" s="12" t="s">
        <v>248</v>
      </c>
      <c r="B483" s="67" t="s">
        <v>286</v>
      </c>
      <c r="C483" s="68" t="s">
        <v>65</v>
      </c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</row>
    <row r="484">
      <c r="A484" s="12" t="s">
        <v>248</v>
      </c>
      <c r="B484" s="67" t="s">
        <v>287</v>
      </c>
      <c r="C484" s="68" t="s">
        <v>53</v>
      </c>
      <c r="D484" s="43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</row>
    <row r="485">
      <c r="A485" s="12" t="s">
        <v>248</v>
      </c>
      <c r="B485" s="67" t="s">
        <v>287</v>
      </c>
      <c r="C485" s="68" t="s">
        <v>63</v>
      </c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</row>
    <row r="486">
      <c r="A486" s="12" t="s">
        <v>248</v>
      </c>
      <c r="B486" s="67" t="s">
        <v>287</v>
      </c>
      <c r="C486" s="68" t="s">
        <v>65</v>
      </c>
      <c r="D486" s="43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</row>
    <row r="487">
      <c r="A487" s="12" t="s">
        <v>248</v>
      </c>
      <c r="B487" s="67" t="s">
        <v>288</v>
      </c>
      <c r="C487" s="68" t="s">
        <v>53</v>
      </c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</row>
    <row r="488">
      <c r="A488" s="12" t="s">
        <v>248</v>
      </c>
      <c r="B488" s="67" t="s">
        <v>288</v>
      </c>
      <c r="C488" s="68" t="s">
        <v>63</v>
      </c>
      <c r="D488" s="43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</row>
    <row r="489">
      <c r="A489" s="12" t="s">
        <v>248</v>
      </c>
      <c r="B489" s="67" t="s">
        <v>288</v>
      </c>
      <c r="C489" s="68" t="s">
        <v>65</v>
      </c>
      <c r="D489" s="43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</row>
    <row r="490">
      <c r="A490" s="53" t="s">
        <v>289</v>
      </c>
      <c r="B490" s="54" t="s">
        <v>290</v>
      </c>
      <c r="C490" s="53" t="s">
        <v>57</v>
      </c>
      <c r="D490" s="43"/>
      <c r="E490" s="43"/>
      <c r="F490" s="43"/>
      <c r="G490" s="43"/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</row>
    <row r="491">
      <c r="A491" s="53" t="s">
        <v>289</v>
      </c>
      <c r="B491" s="54" t="s">
        <v>290</v>
      </c>
      <c r="C491" s="53" t="s">
        <v>59</v>
      </c>
      <c r="D491" s="43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</row>
    <row r="492">
      <c r="A492" s="53" t="s">
        <v>289</v>
      </c>
      <c r="B492" s="54" t="s">
        <v>290</v>
      </c>
      <c r="C492" s="53" t="s">
        <v>63</v>
      </c>
      <c r="D492" s="43"/>
      <c r="E492" s="43"/>
      <c r="F492" s="43"/>
      <c r="G492" s="43"/>
      <c r="H492" s="43"/>
      <c r="I492" s="43"/>
      <c r="J492" s="4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</row>
    <row r="493">
      <c r="A493" s="53" t="s">
        <v>289</v>
      </c>
      <c r="B493" s="54" t="s">
        <v>291</v>
      </c>
      <c r="C493" s="53" t="s">
        <v>57</v>
      </c>
      <c r="D493" s="43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</row>
    <row r="494">
      <c r="A494" s="53" t="s">
        <v>289</v>
      </c>
      <c r="B494" s="54" t="s">
        <v>291</v>
      </c>
      <c r="C494" s="53" t="s">
        <v>59</v>
      </c>
      <c r="D494" s="43"/>
      <c r="E494" s="43"/>
      <c r="F494" s="43"/>
      <c r="G494" s="43"/>
      <c r="H494" s="43"/>
      <c r="I494" s="43"/>
      <c r="J494" s="4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</row>
    <row r="495">
      <c r="A495" s="53" t="s">
        <v>289</v>
      </c>
      <c r="B495" s="54" t="s">
        <v>291</v>
      </c>
      <c r="C495" s="53" t="s">
        <v>63</v>
      </c>
      <c r="D495" s="43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</row>
    <row r="496">
      <c r="A496" s="53" t="s">
        <v>289</v>
      </c>
      <c r="B496" s="54" t="s">
        <v>292</v>
      </c>
      <c r="C496" s="53" t="s">
        <v>57</v>
      </c>
      <c r="D496" s="43"/>
      <c r="E496" s="43"/>
      <c r="F496" s="43"/>
      <c r="G496" s="43"/>
      <c r="H496" s="43"/>
      <c r="I496" s="43"/>
      <c r="J496" s="4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</row>
    <row r="497">
      <c r="A497" s="53" t="s">
        <v>289</v>
      </c>
      <c r="B497" s="54" t="s">
        <v>292</v>
      </c>
      <c r="C497" s="53" t="s">
        <v>59</v>
      </c>
      <c r="D497" s="43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</row>
    <row r="498">
      <c r="A498" s="53" t="s">
        <v>289</v>
      </c>
      <c r="B498" s="54" t="s">
        <v>292</v>
      </c>
      <c r="C498" s="53" t="s">
        <v>63</v>
      </c>
      <c r="D498" s="43"/>
      <c r="E498" s="43"/>
      <c r="F498" s="43"/>
      <c r="G498" s="43"/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</row>
    <row r="499">
      <c r="A499" s="53" t="s">
        <v>289</v>
      </c>
      <c r="B499" s="54" t="s">
        <v>293</v>
      </c>
      <c r="C499" s="53" t="s">
        <v>57</v>
      </c>
      <c r="D499" s="43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</row>
    <row r="500">
      <c r="A500" s="53" t="s">
        <v>289</v>
      </c>
      <c r="B500" s="54" t="s">
        <v>293</v>
      </c>
      <c r="C500" s="53" t="s">
        <v>59</v>
      </c>
      <c r="D500" s="43"/>
      <c r="E500" s="43"/>
      <c r="F500" s="43"/>
      <c r="G500" s="43"/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</row>
    <row r="501">
      <c r="A501" s="53" t="s">
        <v>289</v>
      </c>
      <c r="B501" s="54" t="s">
        <v>293</v>
      </c>
      <c r="C501" s="53" t="s">
        <v>63</v>
      </c>
      <c r="D501" s="43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</row>
    <row r="502">
      <c r="A502" s="53" t="s">
        <v>289</v>
      </c>
      <c r="B502" s="54" t="s">
        <v>294</v>
      </c>
      <c r="C502" s="53" t="s">
        <v>57</v>
      </c>
      <c r="D502" s="43"/>
      <c r="E502" s="43"/>
      <c r="F502" s="43"/>
      <c r="G502" s="43"/>
      <c r="H502" s="43"/>
      <c r="I502" s="43"/>
      <c r="J502" s="4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</row>
    <row r="503">
      <c r="A503" s="53" t="s">
        <v>289</v>
      </c>
      <c r="B503" s="54" t="s">
        <v>294</v>
      </c>
      <c r="C503" s="53" t="s">
        <v>59</v>
      </c>
      <c r="D503" s="43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</row>
    <row r="504">
      <c r="A504" s="53" t="s">
        <v>289</v>
      </c>
      <c r="B504" s="54" t="s">
        <v>294</v>
      </c>
      <c r="C504" s="53" t="s">
        <v>63</v>
      </c>
      <c r="D504" s="43"/>
      <c r="E504" s="43"/>
      <c r="F504" s="43"/>
      <c r="G504" s="43"/>
      <c r="H504" s="43"/>
      <c r="I504" s="43"/>
      <c r="J504" s="4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</row>
    <row r="505">
      <c r="A505" s="53" t="s">
        <v>289</v>
      </c>
      <c r="B505" s="54" t="s">
        <v>295</v>
      </c>
      <c r="C505" s="53" t="s">
        <v>57</v>
      </c>
      <c r="D505" s="43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</row>
    <row r="506">
      <c r="A506" s="53" t="s">
        <v>289</v>
      </c>
      <c r="B506" s="54" t="s">
        <v>295</v>
      </c>
      <c r="C506" s="53" t="s">
        <v>59</v>
      </c>
      <c r="D506" s="43"/>
      <c r="E506" s="43"/>
      <c r="F506" s="43"/>
      <c r="G506" s="43"/>
      <c r="H506" s="43"/>
      <c r="I506" s="43"/>
      <c r="J506" s="4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</row>
    <row r="507">
      <c r="A507" s="53" t="s">
        <v>289</v>
      </c>
      <c r="B507" s="54" t="s">
        <v>295</v>
      </c>
      <c r="C507" s="53" t="s">
        <v>63</v>
      </c>
      <c r="D507" s="43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</row>
    <row r="508">
      <c r="A508" s="53" t="s">
        <v>289</v>
      </c>
      <c r="B508" s="54" t="s">
        <v>296</v>
      </c>
      <c r="C508" s="53" t="s">
        <v>57</v>
      </c>
      <c r="D508" s="43"/>
      <c r="E508" s="43"/>
      <c r="F508" s="43"/>
      <c r="G508" s="43"/>
      <c r="H508" s="43"/>
      <c r="I508" s="43"/>
      <c r="J508" s="4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</row>
    <row r="509">
      <c r="A509" s="53" t="s">
        <v>289</v>
      </c>
      <c r="B509" s="54" t="s">
        <v>296</v>
      </c>
      <c r="C509" s="53" t="s">
        <v>59</v>
      </c>
      <c r="D509" s="43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</row>
    <row r="510">
      <c r="A510" s="53" t="s">
        <v>289</v>
      </c>
      <c r="B510" s="54" t="s">
        <v>296</v>
      </c>
      <c r="C510" s="53" t="s">
        <v>63</v>
      </c>
      <c r="D510" s="43"/>
      <c r="E510" s="43"/>
      <c r="F510" s="43"/>
      <c r="G510" s="43"/>
      <c r="H510" s="43"/>
      <c r="I510" s="43"/>
      <c r="J510" s="4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</row>
    <row r="511">
      <c r="A511" s="53" t="s">
        <v>289</v>
      </c>
      <c r="B511" s="54" t="s">
        <v>297</v>
      </c>
      <c r="C511" s="53" t="s">
        <v>57</v>
      </c>
      <c r="D511" s="43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</row>
    <row r="512">
      <c r="A512" s="53" t="s">
        <v>289</v>
      </c>
      <c r="B512" s="54" t="s">
        <v>297</v>
      </c>
      <c r="C512" s="53" t="s">
        <v>59</v>
      </c>
      <c r="D512" s="43"/>
      <c r="E512" s="43"/>
      <c r="F512" s="43"/>
      <c r="G512" s="43"/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</row>
    <row r="513">
      <c r="A513" s="53" t="s">
        <v>289</v>
      </c>
      <c r="B513" s="54" t="s">
        <v>297</v>
      </c>
      <c r="C513" s="53" t="s">
        <v>63</v>
      </c>
      <c r="D513" s="43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</row>
    <row r="514">
      <c r="A514" s="53" t="s">
        <v>289</v>
      </c>
      <c r="B514" s="54" t="s">
        <v>298</v>
      </c>
      <c r="C514" s="53" t="s">
        <v>57</v>
      </c>
      <c r="D514" s="43"/>
      <c r="E514" s="43"/>
      <c r="F514" s="43"/>
      <c r="G514" s="43"/>
      <c r="H514" s="43"/>
      <c r="I514" s="43"/>
      <c r="J514" s="4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</row>
    <row r="515">
      <c r="A515" s="53" t="s">
        <v>289</v>
      </c>
      <c r="B515" s="54" t="s">
        <v>298</v>
      </c>
      <c r="C515" s="53" t="s">
        <v>59</v>
      </c>
      <c r="D515" s="43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</row>
    <row r="516">
      <c r="A516" s="53" t="s">
        <v>289</v>
      </c>
      <c r="B516" s="54" t="s">
        <v>298</v>
      </c>
      <c r="C516" s="53" t="s">
        <v>63</v>
      </c>
      <c r="D516" s="43"/>
      <c r="E516" s="43"/>
      <c r="F516" s="43"/>
      <c r="G516" s="43"/>
      <c r="H516" s="43"/>
      <c r="I516" s="43"/>
      <c r="J516" s="4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</row>
    <row r="517">
      <c r="A517" s="53" t="s">
        <v>289</v>
      </c>
      <c r="B517" s="54" t="s">
        <v>299</v>
      </c>
      <c r="C517" s="53" t="s">
        <v>57</v>
      </c>
      <c r="D517" s="43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</row>
    <row r="518">
      <c r="A518" s="53" t="s">
        <v>289</v>
      </c>
      <c r="B518" s="54" t="s">
        <v>299</v>
      </c>
      <c r="C518" s="53" t="s">
        <v>59</v>
      </c>
      <c r="D518" s="43"/>
      <c r="E518" s="43"/>
      <c r="F518" s="43"/>
      <c r="G518" s="43"/>
      <c r="H518" s="43"/>
      <c r="I518" s="43"/>
      <c r="J518" s="4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</row>
    <row r="519">
      <c r="A519" s="53" t="s">
        <v>289</v>
      </c>
      <c r="B519" s="54" t="s">
        <v>299</v>
      </c>
      <c r="C519" s="53" t="s">
        <v>63</v>
      </c>
      <c r="D519" s="43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</row>
    <row r="520">
      <c r="A520" s="53" t="s">
        <v>289</v>
      </c>
      <c r="B520" s="54" t="s">
        <v>300</v>
      </c>
      <c r="C520" s="53" t="s">
        <v>57</v>
      </c>
      <c r="D520" s="43"/>
      <c r="E520" s="43"/>
      <c r="F520" s="43"/>
      <c r="G520" s="43"/>
      <c r="H520" s="43"/>
      <c r="I520" s="43"/>
      <c r="J520" s="4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</row>
    <row r="521">
      <c r="A521" s="53" t="s">
        <v>289</v>
      </c>
      <c r="B521" s="54" t="s">
        <v>300</v>
      </c>
      <c r="C521" s="53" t="s">
        <v>59</v>
      </c>
      <c r="D521" s="43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</row>
    <row r="522">
      <c r="A522" s="53" t="s">
        <v>289</v>
      </c>
      <c r="B522" s="54" t="s">
        <v>300</v>
      </c>
      <c r="C522" s="53" t="s">
        <v>63</v>
      </c>
      <c r="D522" s="43"/>
      <c r="E522" s="43"/>
      <c r="F522" s="43"/>
      <c r="G522" s="43"/>
      <c r="H522" s="43"/>
      <c r="I522" s="43"/>
      <c r="J522" s="4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</row>
    <row r="523">
      <c r="A523" s="53" t="s">
        <v>289</v>
      </c>
      <c r="B523" s="54" t="s">
        <v>301</v>
      </c>
      <c r="C523" s="53" t="s">
        <v>57</v>
      </c>
      <c r="D523" s="43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</row>
    <row r="524">
      <c r="A524" s="53" t="s">
        <v>289</v>
      </c>
      <c r="B524" s="54" t="s">
        <v>301</v>
      </c>
      <c r="C524" s="53" t="s">
        <v>59</v>
      </c>
      <c r="D524" s="43"/>
      <c r="E524" s="43"/>
      <c r="F524" s="43"/>
      <c r="G524" s="43"/>
      <c r="H524" s="43"/>
      <c r="I524" s="43"/>
      <c r="J524" s="4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</row>
    <row r="525">
      <c r="A525" s="53" t="s">
        <v>289</v>
      </c>
      <c r="B525" s="54" t="s">
        <v>301</v>
      </c>
      <c r="C525" s="53" t="s">
        <v>63</v>
      </c>
      <c r="D525" s="43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</row>
    <row r="526">
      <c r="A526" s="53" t="s">
        <v>289</v>
      </c>
      <c r="B526" s="54" t="s">
        <v>302</v>
      </c>
      <c r="C526" s="53" t="s">
        <v>57</v>
      </c>
      <c r="D526" s="43"/>
      <c r="E526" s="43"/>
      <c r="F526" s="43"/>
      <c r="G526" s="43"/>
      <c r="H526" s="43"/>
      <c r="I526" s="43"/>
      <c r="J526" s="4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</row>
    <row r="527">
      <c r="A527" s="53" t="s">
        <v>289</v>
      </c>
      <c r="B527" s="54" t="s">
        <v>302</v>
      </c>
      <c r="C527" s="53" t="s">
        <v>59</v>
      </c>
      <c r="D527" s="43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</row>
    <row r="528">
      <c r="A528" s="53" t="s">
        <v>289</v>
      </c>
      <c r="B528" s="54" t="s">
        <v>302</v>
      </c>
      <c r="C528" s="53" t="s">
        <v>63</v>
      </c>
      <c r="D528" s="43"/>
      <c r="E528" s="43"/>
      <c r="F528" s="43"/>
      <c r="G528" s="43"/>
      <c r="H528" s="43"/>
      <c r="I528" s="43"/>
      <c r="J528" s="4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</row>
    <row r="529">
      <c r="A529" s="53" t="s">
        <v>289</v>
      </c>
      <c r="B529" s="54" t="s">
        <v>303</v>
      </c>
      <c r="C529" s="53" t="s">
        <v>57</v>
      </c>
      <c r="D529" s="43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</row>
    <row r="530">
      <c r="A530" s="53" t="s">
        <v>289</v>
      </c>
      <c r="B530" s="54" t="s">
        <v>303</v>
      </c>
      <c r="C530" s="53" t="s">
        <v>59</v>
      </c>
      <c r="D530" s="43"/>
      <c r="E530" s="43"/>
      <c r="F530" s="43"/>
      <c r="G530" s="43"/>
      <c r="H530" s="43"/>
      <c r="I530" s="43"/>
      <c r="J530" s="4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</row>
    <row r="531">
      <c r="A531" s="53" t="s">
        <v>289</v>
      </c>
      <c r="B531" s="54" t="s">
        <v>303</v>
      </c>
      <c r="C531" s="53" t="s">
        <v>63</v>
      </c>
      <c r="D531" s="43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</row>
    <row r="532">
      <c r="A532" s="53" t="s">
        <v>289</v>
      </c>
      <c r="B532" s="54" t="s">
        <v>304</v>
      </c>
      <c r="C532" s="53" t="s">
        <v>57</v>
      </c>
      <c r="D532" s="43"/>
      <c r="E532" s="43"/>
      <c r="F532" s="43"/>
      <c r="G532" s="43"/>
      <c r="H532" s="43"/>
      <c r="I532" s="43"/>
      <c r="J532" s="4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</row>
    <row r="533">
      <c r="A533" s="53" t="s">
        <v>289</v>
      </c>
      <c r="B533" s="54" t="s">
        <v>304</v>
      </c>
      <c r="C533" s="53" t="s">
        <v>59</v>
      </c>
      <c r="D533" s="43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</row>
    <row r="534">
      <c r="A534" s="53" t="s">
        <v>289</v>
      </c>
      <c r="B534" s="54" t="s">
        <v>304</v>
      </c>
      <c r="C534" s="53" t="s">
        <v>63</v>
      </c>
      <c r="D534" s="43"/>
      <c r="E534" s="43"/>
      <c r="F534" s="43"/>
      <c r="G534" s="43"/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</row>
    <row r="535">
      <c r="A535" s="53" t="s">
        <v>289</v>
      </c>
      <c r="B535" s="54" t="s">
        <v>305</v>
      </c>
      <c r="C535" s="53" t="s">
        <v>57</v>
      </c>
      <c r="D535" s="43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</row>
    <row r="536">
      <c r="A536" s="53" t="s">
        <v>289</v>
      </c>
      <c r="B536" s="54" t="s">
        <v>305</v>
      </c>
      <c r="C536" s="53" t="s">
        <v>59</v>
      </c>
      <c r="D536" s="43"/>
      <c r="E536" s="43"/>
      <c r="F536" s="43"/>
      <c r="G536" s="43"/>
      <c r="H536" s="43"/>
      <c r="I536" s="43"/>
      <c r="J536" s="4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</row>
    <row r="537">
      <c r="A537" s="53" t="s">
        <v>289</v>
      </c>
      <c r="B537" s="54" t="s">
        <v>305</v>
      </c>
      <c r="C537" s="53" t="s">
        <v>63</v>
      </c>
      <c r="D537" s="43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</row>
    <row r="538">
      <c r="A538" s="53" t="s">
        <v>289</v>
      </c>
      <c r="B538" s="54" t="s">
        <v>306</v>
      </c>
      <c r="C538" s="53" t="s">
        <v>57</v>
      </c>
      <c r="D538" s="43"/>
      <c r="E538" s="43"/>
      <c r="F538" s="43"/>
      <c r="G538" s="43"/>
      <c r="H538" s="43"/>
      <c r="I538" s="43"/>
      <c r="J538" s="4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</row>
    <row r="539">
      <c r="A539" s="53" t="s">
        <v>289</v>
      </c>
      <c r="B539" s="54" t="s">
        <v>306</v>
      </c>
      <c r="C539" s="53" t="s">
        <v>59</v>
      </c>
      <c r="D539" s="43"/>
      <c r="E539" s="43"/>
      <c r="F539" s="43"/>
      <c r="G539" s="43"/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</row>
    <row r="540">
      <c r="A540" s="53" t="s">
        <v>289</v>
      </c>
      <c r="B540" s="54" t="s">
        <v>306</v>
      </c>
      <c r="C540" s="53" t="s">
        <v>63</v>
      </c>
      <c r="D540" s="43"/>
      <c r="E540" s="43"/>
      <c r="F540" s="43"/>
      <c r="G540" s="43"/>
      <c r="H540" s="43"/>
      <c r="I540" s="43"/>
      <c r="J540" s="4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</row>
    <row r="541">
      <c r="A541" s="53" t="s">
        <v>289</v>
      </c>
      <c r="B541" s="54" t="s">
        <v>307</v>
      </c>
      <c r="C541" s="53" t="s">
        <v>57</v>
      </c>
      <c r="D541" s="43"/>
      <c r="E541" s="43"/>
      <c r="F541" s="43"/>
      <c r="G541" s="43"/>
      <c r="H541" s="43"/>
      <c r="I541" s="43"/>
      <c r="J541" s="4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</row>
    <row r="542">
      <c r="A542" s="53" t="s">
        <v>289</v>
      </c>
      <c r="B542" s="54" t="s">
        <v>307</v>
      </c>
      <c r="C542" s="53" t="s">
        <v>59</v>
      </c>
      <c r="D542" s="43"/>
      <c r="E542" s="43"/>
      <c r="F542" s="43"/>
      <c r="G542" s="43"/>
      <c r="H542" s="43"/>
      <c r="I542" s="43"/>
      <c r="J542" s="4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</row>
    <row r="543">
      <c r="A543" s="53" t="s">
        <v>289</v>
      </c>
      <c r="B543" s="54" t="s">
        <v>307</v>
      </c>
      <c r="C543" s="53" t="s">
        <v>63</v>
      </c>
      <c r="D543" s="43"/>
      <c r="E543" s="43"/>
      <c r="F543" s="43"/>
      <c r="G543" s="43"/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</row>
    <row r="544">
      <c r="A544" s="53" t="s">
        <v>289</v>
      </c>
      <c r="B544" s="54" t="s">
        <v>308</v>
      </c>
      <c r="C544" s="53" t="s">
        <v>57</v>
      </c>
      <c r="D544" s="43"/>
      <c r="E544" s="43"/>
      <c r="F544" s="43"/>
      <c r="G544" s="43"/>
      <c r="H544" s="43"/>
      <c r="I544" s="43"/>
      <c r="J544" s="4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</row>
    <row r="545">
      <c r="A545" s="53" t="s">
        <v>289</v>
      </c>
      <c r="B545" s="54" t="s">
        <v>308</v>
      </c>
      <c r="C545" s="53" t="s">
        <v>59</v>
      </c>
      <c r="D545" s="43"/>
      <c r="E545" s="43"/>
      <c r="F545" s="43"/>
      <c r="G545" s="43"/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</row>
    <row r="546">
      <c r="A546" s="53" t="s">
        <v>289</v>
      </c>
      <c r="B546" s="54" t="s">
        <v>308</v>
      </c>
      <c r="C546" s="53" t="s">
        <v>63</v>
      </c>
      <c r="D546" s="43"/>
      <c r="E546" s="43"/>
      <c r="F546" s="43"/>
      <c r="G546" s="43"/>
      <c r="H546" s="43"/>
      <c r="I546" s="43"/>
      <c r="J546" s="4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</row>
    <row r="547">
      <c r="A547" s="53" t="s">
        <v>289</v>
      </c>
      <c r="B547" s="54" t="s">
        <v>309</v>
      </c>
      <c r="C547" s="53" t="s">
        <v>57</v>
      </c>
      <c r="D547" s="43"/>
      <c r="E547" s="43"/>
      <c r="F547" s="43"/>
      <c r="G547" s="43"/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</row>
    <row r="548">
      <c r="A548" s="53" t="s">
        <v>289</v>
      </c>
      <c r="B548" s="54" t="s">
        <v>309</v>
      </c>
      <c r="C548" s="53" t="s">
        <v>59</v>
      </c>
      <c r="D548" s="43"/>
      <c r="E548" s="43"/>
      <c r="F548" s="43"/>
      <c r="G548" s="43"/>
      <c r="H548" s="43"/>
      <c r="I548" s="43"/>
      <c r="J548" s="4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</row>
    <row r="549">
      <c r="A549" s="53" t="s">
        <v>289</v>
      </c>
      <c r="B549" s="54" t="s">
        <v>309</v>
      </c>
      <c r="C549" s="53" t="s">
        <v>63</v>
      </c>
      <c r="D549" s="43"/>
      <c r="E549" s="43"/>
      <c r="F549" s="43"/>
      <c r="G549" s="43"/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</row>
    <row r="550">
      <c r="A550" s="53" t="s">
        <v>289</v>
      </c>
      <c r="B550" s="54" t="s">
        <v>310</v>
      </c>
      <c r="C550" s="53" t="s">
        <v>57</v>
      </c>
      <c r="D550" s="43"/>
      <c r="E550" s="43"/>
      <c r="F550" s="43"/>
      <c r="G550" s="43"/>
      <c r="H550" s="43"/>
      <c r="I550" s="43"/>
      <c r="J550" s="4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</row>
    <row r="551">
      <c r="A551" s="53" t="s">
        <v>289</v>
      </c>
      <c r="B551" s="54" t="s">
        <v>310</v>
      </c>
      <c r="C551" s="53" t="s">
        <v>59</v>
      </c>
      <c r="D551" s="43"/>
      <c r="E551" s="43"/>
      <c r="F551" s="43"/>
      <c r="G551" s="43"/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</row>
    <row r="552">
      <c r="A552" s="53" t="s">
        <v>289</v>
      </c>
      <c r="B552" s="54" t="s">
        <v>310</v>
      </c>
      <c r="C552" s="53" t="s">
        <v>63</v>
      </c>
      <c r="D552" s="43"/>
      <c r="E552" s="43"/>
      <c r="F552" s="43"/>
      <c r="G552" s="43"/>
      <c r="H552" s="43"/>
      <c r="I552" s="43"/>
      <c r="J552" s="4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</row>
    <row r="553">
      <c r="A553" s="53" t="s">
        <v>289</v>
      </c>
      <c r="B553" s="54" t="s">
        <v>311</v>
      </c>
      <c r="C553" s="53" t="s">
        <v>57</v>
      </c>
      <c r="D553" s="43"/>
      <c r="E553" s="43"/>
      <c r="F553" s="43"/>
      <c r="G553" s="43"/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</row>
    <row r="554">
      <c r="A554" s="53" t="s">
        <v>289</v>
      </c>
      <c r="B554" s="54" t="s">
        <v>311</v>
      </c>
      <c r="C554" s="53" t="s">
        <v>59</v>
      </c>
      <c r="D554" s="43"/>
      <c r="E554" s="43"/>
      <c r="F554" s="43"/>
      <c r="G554" s="43"/>
      <c r="H554" s="43"/>
      <c r="I554" s="43"/>
      <c r="J554" s="4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</row>
    <row r="555">
      <c r="A555" s="53" t="s">
        <v>289</v>
      </c>
      <c r="B555" s="54" t="s">
        <v>311</v>
      </c>
      <c r="C555" s="53" t="s">
        <v>63</v>
      </c>
      <c r="D555" s="43"/>
      <c r="E555" s="43"/>
      <c r="F555" s="43"/>
      <c r="G555" s="43"/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</row>
    <row r="556">
      <c r="A556" s="57" t="s">
        <v>312</v>
      </c>
      <c r="B556" s="58" t="s">
        <v>313</v>
      </c>
      <c r="C556" s="57" t="s">
        <v>245</v>
      </c>
      <c r="D556" s="43"/>
      <c r="E556" s="43"/>
      <c r="F556" s="43"/>
      <c r="G556" s="43"/>
      <c r="H556" s="43"/>
      <c r="I556" s="43"/>
      <c r="J556" s="4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</row>
    <row r="557">
      <c r="A557" s="57" t="s">
        <v>312</v>
      </c>
      <c r="B557" s="58" t="s">
        <v>313</v>
      </c>
      <c r="C557" s="57" t="s">
        <v>49</v>
      </c>
      <c r="D557" s="43"/>
      <c r="E557" s="43"/>
      <c r="F557" s="43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</row>
    <row r="558">
      <c r="A558" s="57" t="s">
        <v>312</v>
      </c>
      <c r="B558" s="58" t="s">
        <v>313</v>
      </c>
      <c r="C558" s="57" t="s">
        <v>51</v>
      </c>
      <c r="D558" s="43"/>
      <c r="E558" s="43"/>
      <c r="F558" s="43"/>
      <c r="G558" s="43"/>
      <c r="H558" s="43"/>
      <c r="I558" s="43"/>
      <c r="J558" s="4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</row>
    <row r="559">
      <c r="A559" s="57" t="s">
        <v>312</v>
      </c>
      <c r="B559" s="58" t="s">
        <v>314</v>
      </c>
      <c r="C559" s="57" t="s">
        <v>33</v>
      </c>
      <c r="D559" s="43"/>
      <c r="E559" s="43"/>
      <c r="F559" s="43"/>
      <c r="G559" s="43"/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</row>
    <row r="560">
      <c r="A560" s="57" t="s">
        <v>312</v>
      </c>
      <c r="B560" s="58" t="s">
        <v>314</v>
      </c>
      <c r="C560" s="57" t="s">
        <v>49</v>
      </c>
      <c r="D560" s="43"/>
      <c r="E560" s="43"/>
      <c r="F560" s="43"/>
      <c r="G560" s="43"/>
      <c r="H560" s="43"/>
      <c r="I560" s="43"/>
      <c r="J560" s="4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</row>
    <row r="561">
      <c r="A561" s="57" t="s">
        <v>312</v>
      </c>
      <c r="B561" s="58" t="s">
        <v>314</v>
      </c>
      <c r="C561" s="57" t="s">
        <v>51</v>
      </c>
      <c r="D561" s="43"/>
      <c r="E561" s="43"/>
      <c r="F561" s="43"/>
      <c r="G561" s="43"/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</row>
    <row r="562">
      <c r="A562" s="57" t="s">
        <v>312</v>
      </c>
      <c r="B562" s="58" t="s">
        <v>315</v>
      </c>
      <c r="C562" s="57" t="s">
        <v>33</v>
      </c>
      <c r="D562" s="43"/>
      <c r="E562" s="43"/>
      <c r="F562" s="43"/>
      <c r="G562" s="43"/>
      <c r="H562" s="43"/>
      <c r="I562" s="43"/>
      <c r="J562" s="4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</row>
    <row r="563">
      <c r="A563" s="57" t="s">
        <v>312</v>
      </c>
      <c r="B563" s="58" t="s">
        <v>315</v>
      </c>
      <c r="C563" s="57" t="s">
        <v>49</v>
      </c>
      <c r="D563" s="43"/>
      <c r="E563" s="43"/>
      <c r="F563" s="43"/>
      <c r="G563" s="43"/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</row>
    <row r="564">
      <c r="A564" s="57" t="s">
        <v>312</v>
      </c>
      <c r="B564" s="58" t="s">
        <v>315</v>
      </c>
      <c r="C564" s="57" t="s">
        <v>51</v>
      </c>
      <c r="D564" s="43"/>
      <c r="E564" s="43"/>
      <c r="F564" s="43"/>
      <c r="G564" s="43"/>
      <c r="H564" s="43"/>
      <c r="I564" s="43"/>
      <c r="J564" s="4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</row>
    <row r="565">
      <c r="A565" s="57" t="s">
        <v>312</v>
      </c>
      <c r="B565" s="58" t="s">
        <v>316</v>
      </c>
      <c r="C565" s="57" t="s">
        <v>33</v>
      </c>
      <c r="D565" s="43"/>
      <c r="E565" s="43"/>
      <c r="F565" s="43"/>
      <c r="G565" s="43"/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</row>
    <row r="566">
      <c r="A566" s="57" t="s">
        <v>312</v>
      </c>
      <c r="B566" s="58" t="s">
        <v>316</v>
      </c>
      <c r="C566" s="57" t="s">
        <v>49</v>
      </c>
      <c r="D566" s="43"/>
      <c r="E566" s="43"/>
      <c r="F566" s="43"/>
      <c r="G566" s="43"/>
      <c r="H566" s="43"/>
      <c r="I566" s="43"/>
      <c r="J566" s="4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</row>
    <row r="567">
      <c r="A567" s="57" t="s">
        <v>312</v>
      </c>
      <c r="B567" s="58" t="s">
        <v>316</v>
      </c>
      <c r="C567" s="57" t="s">
        <v>51</v>
      </c>
      <c r="D567" s="43"/>
      <c r="E567" s="43"/>
      <c r="F567" s="43"/>
      <c r="G567" s="43"/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</row>
    <row r="568">
      <c r="A568" s="57" t="s">
        <v>312</v>
      </c>
      <c r="B568" s="58" t="s">
        <v>317</v>
      </c>
      <c r="C568" s="57" t="s">
        <v>33</v>
      </c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</row>
    <row r="569">
      <c r="A569" s="57" t="s">
        <v>312</v>
      </c>
      <c r="B569" s="58" t="s">
        <v>317</v>
      </c>
      <c r="C569" s="57" t="s">
        <v>49</v>
      </c>
      <c r="D569" s="43"/>
      <c r="E569" s="43"/>
      <c r="F569" s="43"/>
      <c r="G569" s="43"/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</row>
    <row r="570">
      <c r="A570" s="57" t="s">
        <v>312</v>
      </c>
      <c r="B570" s="58" t="s">
        <v>317</v>
      </c>
      <c r="C570" s="57" t="s">
        <v>51</v>
      </c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</row>
    <row r="571">
      <c r="A571" s="57" t="s">
        <v>312</v>
      </c>
      <c r="B571" s="58" t="s">
        <v>318</v>
      </c>
      <c r="C571" s="57" t="s">
        <v>33</v>
      </c>
      <c r="D571" s="43"/>
      <c r="E571" s="43"/>
      <c r="F571" s="43"/>
      <c r="G571" s="43"/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</row>
    <row r="572">
      <c r="A572" s="57" t="s">
        <v>312</v>
      </c>
      <c r="B572" s="58" t="s">
        <v>318</v>
      </c>
      <c r="C572" s="57" t="s">
        <v>49</v>
      </c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</row>
    <row r="573">
      <c r="A573" s="57" t="s">
        <v>312</v>
      </c>
      <c r="B573" s="58" t="s">
        <v>318</v>
      </c>
      <c r="C573" s="57" t="s">
        <v>51</v>
      </c>
      <c r="D573" s="43"/>
      <c r="E573" s="43"/>
      <c r="F573" s="43"/>
      <c r="G573" s="43"/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</row>
    <row r="574">
      <c r="A574" s="57" t="s">
        <v>312</v>
      </c>
      <c r="B574" s="58" t="s">
        <v>319</v>
      </c>
      <c r="C574" s="57" t="s">
        <v>33</v>
      </c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</row>
    <row r="575">
      <c r="A575" s="57" t="s">
        <v>312</v>
      </c>
      <c r="B575" s="58" t="s">
        <v>319</v>
      </c>
      <c r="C575" s="57" t="s">
        <v>49</v>
      </c>
      <c r="D575" s="43"/>
      <c r="E575" s="43"/>
      <c r="F575" s="43"/>
      <c r="G575" s="43"/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</row>
    <row r="576">
      <c r="A576" s="57" t="s">
        <v>312</v>
      </c>
      <c r="B576" s="58" t="s">
        <v>319</v>
      </c>
      <c r="C576" s="57" t="s">
        <v>51</v>
      </c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</row>
    <row r="577">
      <c r="A577" s="57" t="s">
        <v>312</v>
      </c>
      <c r="B577" s="58" t="s">
        <v>320</v>
      </c>
      <c r="C577" s="57" t="s">
        <v>33</v>
      </c>
      <c r="D577" s="43"/>
      <c r="E577" s="43"/>
      <c r="F577" s="43"/>
      <c r="G577" s="43"/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</row>
    <row r="578">
      <c r="A578" s="57" t="s">
        <v>312</v>
      </c>
      <c r="B578" s="58" t="s">
        <v>320</v>
      </c>
      <c r="C578" s="57" t="s">
        <v>49</v>
      </c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</row>
    <row r="579">
      <c r="A579" s="57" t="s">
        <v>312</v>
      </c>
      <c r="B579" s="58" t="s">
        <v>320</v>
      </c>
      <c r="C579" s="57" t="s">
        <v>51</v>
      </c>
      <c r="D579" s="43"/>
      <c r="E579" s="43"/>
      <c r="F579" s="43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</row>
    <row r="580">
      <c r="A580" s="57" t="s">
        <v>312</v>
      </c>
      <c r="B580" s="58" t="s">
        <v>321</v>
      </c>
      <c r="C580" s="57" t="s">
        <v>33</v>
      </c>
      <c r="D580" s="43"/>
      <c r="E580" s="43"/>
      <c r="F580" s="43"/>
      <c r="G580" s="43"/>
      <c r="H580" s="43"/>
      <c r="I580" s="43"/>
      <c r="J580" s="4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</row>
    <row r="581">
      <c r="A581" s="57" t="s">
        <v>312</v>
      </c>
      <c r="B581" s="58" t="s">
        <v>321</v>
      </c>
      <c r="C581" s="57" t="s">
        <v>49</v>
      </c>
      <c r="D581" s="43"/>
      <c r="E581" s="43"/>
      <c r="F581" s="43"/>
      <c r="G581" s="43"/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</row>
    <row r="582">
      <c r="A582" s="57" t="s">
        <v>312</v>
      </c>
      <c r="B582" s="58" t="s">
        <v>321</v>
      </c>
      <c r="C582" s="57" t="s">
        <v>51</v>
      </c>
      <c r="D582" s="43"/>
      <c r="E582" s="43"/>
      <c r="F582" s="43"/>
      <c r="G582" s="43"/>
      <c r="H582" s="43"/>
      <c r="I582" s="43"/>
      <c r="J582" s="4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</row>
    <row r="583">
      <c r="A583" s="57" t="s">
        <v>312</v>
      </c>
      <c r="B583" s="58" t="s">
        <v>322</v>
      </c>
      <c r="C583" s="57" t="s">
        <v>33</v>
      </c>
      <c r="D583" s="43"/>
      <c r="E583" s="43"/>
      <c r="F583" s="43"/>
      <c r="G583" s="43"/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</row>
    <row r="584">
      <c r="A584" s="57" t="s">
        <v>312</v>
      </c>
      <c r="B584" s="58" t="s">
        <v>322</v>
      </c>
      <c r="C584" s="57" t="s">
        <v>49</v>
      </c>
      <c r="D584" s="43"/>
      <c r="E584" s="43"/>
      <c r="F584" s="43"/>
      <c r="G584" s="43"/>
      <c r="H584" s="43"/>
      <c r="I584" s="43"/>
      <c r="J584" s="4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</row>
    <row r="585">
      <c r="A585" s="57" t="s">
        <v>312</v>
      </c>
      <c r="B585" s="58" t="s">
        <v>322</v>
      </c>
      <c r="C585" s="57" t="s">
        <v>51</v>
      </c>
      <c r="D585" s="43"/>
      <c r="E585" s="43"/>
      <c r="F585" s="43"/>
      <c r="G585" s="43"/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</row>
    <row r="586">
      <c r="A586" s="57" t="s">
        <v>312</v>
      </c>
      <c r="B586" s="58" t="s">
        <v>323</v>
      </c>
      <c r="C586" s="57" t="s">
        <v>33</v>
      </c>
      <c r="D586" s="43"/>
      <c r="E586" s="43"/>
      <c r="F586" s="43"/>
      <c r="G586" s="43"/>
      <c r="H586" s="43"/>
      <c r="I586" s="43"/>
      <c r="J586" s="4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</row>
    <row r="587">
      <c r="A587" s="57" t="s">
        <v>312</v>
      </c>
      <c r="B587" s="58" t="s">
        <v>323</v>
      </c>
      <c r="C587" s="57" t="s">
        <v>49</v>
      </c>
      <c r="D587" s="43"/>
      <c r="E587" s="43"/>
      <c r="F587" s="43"/>
      <c r="G587" s="43"/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</row>
    <row r="588">
      <c r="A588" s="57" t="s">
        <v>312</v>
      </c>
      <c r="B588" s="58" t="s">
        <v>323</v>
      </c>
      <c r="C588" s="57" t="s">
        <v>51</v>
      </c>
      <c r="D588" s="43"/>
      <c r="E588" s="43"/>
      <c r="F588" s="43"/>
      <c r="G588" s="43"/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</row>
    <row r="589">
      <c r="A589" s="57" t="s">
        <v>312</v>
      </c>
      <c r="B589" s="58" t="s">
        <v>324</v>
      </c>
      <c r="C589" s="57" t="s">
        <v>33</v>
      </c>
      <c r="D589" s="43"/>
      <c r="E589" s="43"/>
      <c r="F589" s="43"/>
      <c r="G589" s="43"/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</row>
    <row r="590">
      <c r="A590" s="57" t="s">
        <v>312</v>
      </c>
      <c r="B590" s="58" t="s">
        <v>324</v>
      </c>
      <c r="C590" s="57" t="s">
        <v>49</v>
      </c>
      <c r="D590" s="43"/>
      <c r="E590" s="43"/>
      <c r="F590" s="43"/>
      <c r="G590" s="43"/>
      <c r="H590" s="43"/>
      <c r="I590" s="43"/>
      <c r="J590" s="4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</row>
    <row r="591">
      <c r="A591" s="57" t="s">
        <v>312</v>
      </c>
      <c r="B591" s="58" t="s">
        <v>324</v>
      </c>
      <c r="C591" s="57" t="s">
        <v>51</v>
      </c>
      <c r="D591" s="43"/>
      <c r="E591" s="43"/>
      <c r="F591" s="43"/>
      <c r="G591" s="43"/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</row>
    <row r="592">
      <c r="A592" s="57" t="s">
        <v>312</v>
      </c>
      <c r="B592" s="58" t="s">
        <v>325</v>
      </c>
      <c r="C592" s="57" t="s">
        <v>33</v>
      </c>
      <c r="D592" s="43"/>
      <c r="E592" s="43"/>
      <c r="F592" s="43"/>
      <c r="G592" s="43"/>
      <c r="H592" s="43"/>
      <c r="I592" s="43"/>
      <c r="J592" s="4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</row>
    <row r="593">
      <c r="A593" s="57" t="s">
        <v>312</v>
      </c>
      <c r="B593" s="58" t="s">
        <v>325</v>
      </c>
      <c r="C593" s="57" t="s">
        <v>49</v>
      </c>
      <c r="D593" s="43"/>
      <c r="E593" s="43"/>
      <c r="F593" s="43"/>
      <c r="G593" s="43"/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</row>
    <row r="594">
      <c r="A594" s="57" t="s">
        <v>312</v>
      </c>
      <c r="B594" s="58" t="s">
        <v>325</v>
      </c>
      <c r="C594" s="57" t="s">
        <v>51</v>
      </c>
      <c r="D594" s="43"/>
      <c r="E594" s="43"/>
      <c r="F594" s="43"/>
      <c r="G594" s="43"/>
      <c r="H594" s="43"/>
      <c r="I594" s="43"/>
      <c r="J594" s="4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</row>
    <row r="595">
      <c r="A595" s="57" t="s">
        <v>312</v>
      </c>
      <c r="B595" s="58" t="s">
        <v>326</v>
      </c>
      <c r="C595" s="57" t="s">
        <v>33</v>
      </c>
      <c r="D595" s="43"/>
      <c r="E595" s="43"/>
      <c r="F595" s="43"/>
      <c r="G595" s="43"/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</row>
    <row r="596">
      <c r="A596" s="57" t="s">
        <v>312</v>
      </c>
      <c r="B596" s="58" t="s">
        <v>326</v>
      </c>
      <c r="C596" s="57" t="s">
        <v>49</v>
      </c>
      <c r="D596" s="43"/>
      <c r="E596" s="43"/>
      <c r="F596" s="43"/>
      <c r="G596" s="43"/>
      <c r="H596" s="43"/>
      <c r="I596" s="43"/>
      <c r="J596" s="4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</row>
    <row r="597">
      <c r="A597" s="57" t="s">
        <v>312</v>
      </c>
      <c r="B597" s="58" t="s">
        <v>326</v>
      </c>
      <c r="C597" s="57" t="s">
        <v>51</v>
      </c>
      <c r="D597" s="43"/>
      <c r="E597" s="43"/>
      <c r="F597" s="43"/>
      <c r="G597" s="43"/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</row>
    <row r="598">
      <c r="A598" s="57" t="s">
        <v>312</v>
      </c>
      <c r="B598" s="58" t="s">
        <v>327</v>
      </c>
      <c r="C598" s="57" t="s">
        <v>33</v>
      </c>
      <c r="D598" s="43"/>
      <c r="E598" s="43"/>
      <c r="F598" s="43"/>
      <c r="G598" s="43"/>
      <c r="H598" s="43"/>
      <c r="I598" s="43"/>
      <c r="J598" s="4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</row>
    <row r="599">
      <c r="A599" s="57" t="s">
        <v>312</v>
      </c>
      <c r="B599" s="58" t="s">
        <v>327</v>
      </c>
      <c r="C599" s="57" t="s">
        <v>49</v>
      </c>
      <c r="D599" s="43"/>
      <c r="E599" s="43"/>
      <c r="F599" s="43"/>
      <c r="G599" s="43"/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</row>
    <row r="600">
      <c r="A600" s="57" t="s">
        <v>312</v>
      </c>
      <c r="B600" s="58" t="s">
        <v>327</v>
      </c>
      <c r="C600" s="57" t="s">
        <v>51</v>
      </c>
      <c r="D600" s="43"/>
      <c r="E600" s="43"/>
      <c r="F600" s="43"/>
      <c r="G600" s="43"/>
      <c r="H600" s="43"/>
      <c r="I600" s="43"/>
      <c r="J600" s="4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</row>
    <row r="601">
      <c r="A601" s="57" t="s">
        <v>312</v>
      </c>
      <c r="B601" s="58" t="s">
        <v>328</v>
      </c>
      <c r="C601" s="57" t="s">
        <v>33</v>
      </c>
      <c r="D601" s="43"/>
      <c r="E601" s="43"/>
      <c r="F601" s="43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</row>
    <row r="602">
      <c r="A602" s="57" t="s">
        <v>312</v>
      </c>
      <c r="B602" s="58" t="s">
        <v>328</v>
      </c>
      <c r="C602" s="57" t="s">
        <v>49</v>
      </c>
      <c r="D602" s="43"/>
      <c r="E602" s="43"/>
      <c r="F602" s="43"/>
      <c r="G602" s="43"/>
      <c r="H602" s="43"/>
      <c r="I602" s="43"/>
      <c r="J602" s="4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</row>
    <row r="603">
      <c r="A603" s="57" t="s">
        <v>312</v>
      </c>
      <c r="B603" s="58" t="s">
        <v>328</v>
      </c>
      <c r="C603" s="57" t="s">
        <v>51</v>
      </c>
      <c r="D603" s="43"/>
      <c r="E603" s="43"/>
      <c r="F603" s="43"/>
      <c r="G603" s="43"/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</row>
    <row r="604">
      <c r="A604" s="57" t="s">
        <v>312</v>
      </c>
      <c r="B604" s="58" t="s">
        <v>329</v>
      </c>
      <c r="C604" s="57" t="s">
        <v>33</v>
      </c>
      <c r="D604" s="43"/>
      <c r="E604" s="43"/>
      <c r="F604" s="43"/>
      <c r="G604" s="43"/>
      <c r="H604" s="43"/>
      <c r="I604" s="43"/>
      <c r="J604" s="4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</row>
    <row r="605">
      <c r="A605" s="57" t="s">
        <v>312</v>
      </c>
      <c r="B605" s="58" t="s">
        <v>329</v>
      </c>
      <c r="C605" s="57" t="s">
        <v>49</v>
      </c>
      <c r="D605" s="43"/>
      <c r="E605" s="43"/>
      <c r="F605" s="43"/>
      <c r="G605" s="43"/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</row>
    <row r="606">
      <c r="A606" s="57" t="s">
        <v>312</v>
      </c>
      <c r="B606" s="58" t="s">
        <v>329</v>
      </c>
      <c r="C606" s="57" t="s">
        <v>51</v>
      </c>
      <c r="D606" s="43"/>
      <c r="E606" s="43"/>
      <c r="F606" s="43"/>
      <c r="G606" s="43"/>
      <c r="H606" s="43"/>
      <c r="I606" s="43"/>
      <c r="J606" s="4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</row>
    <row r="607">
      <c r="A607" s="59" t="s">
        <v>330</v>
      </c>
      <c r="B607" s="60" t="s">
        <v>331</v>
      </c>
      <c r="C607" s="59" t="s">
        <v>33</v>
      </c>
      <c r="D607" s="43"/>
      <c r="E607" s="43"/>
      <c r="F607" s="43"/>
      <c r="G607" s="43"/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</row>
    <row r="608">
      <c r="A608" s="59" t="s">
        <v>330</v>
      </c>
      <c r="B608" s="60" t="s">
        <v>331</v>
      </c>
      <c r="C608" s="59" t="s">
        <v>38</v>
      </c>
      <c r="D608" s="43"/>
      <c r="E608" s="43"/>
      <c r="F608" s="43"/>
      <c r="G608" s="43"/>
      <c r="H608" s="43"/>
      <c r="I608" s="43"/>
      <c r="J608" s="4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</row>
    <row r="609">
      <c r="A609" s="59" t="s">
        <v>330</v>
      </c>
      <c r="B609" s="60" t="s">
        <v>331</v>
      </c>
      <c r="C609" s="59" t="s">
        <v>245</v>
      </c>
      <c r="D609" s="43"/>
      <c r="E609" s="43"/>
      <c r="F609" s="43"/>
      <c r="G609" s="43"/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</row>
    <row r="610">
      <c r="A610" s="59" t="s">
        <v>330</v>
      </c>
      <c r="B610" s="60" t="s">
        <v>332</v>
      </c>
      <c r="C610" s="69" t="s">
        <v>33</v>
      </c>
      <c r="D610" s="43"/>
      <c r="E610" s="43"/>
      <c r="F610" s="43"/>
      <c r="G610" s="43"/>
      <c r="H610" s="43"/>
      <c r="I610" s="43"/>
      <c r="J610" s="4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</row>
    <row r="611">
      <c r="A611" s="59" t="s">
        <v>330</v>
      </c>
      <c r="B611" s="60" t="s">
        <v>332</v>
      </c>
      <c r="C611" s="69" t="s">
        <v>38</v>
      </c>
      <c r="D611" s="43"/>
      <c r="E611" s="43"/>
      <c r="F611" s="43"/>
      <c r="G611" s="43"/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</row>
    <row r="612">
      <c r="A612" s="59" t="s">
        <v>330</v>
      </c>
      <c r="B612" s="60" t="s">
        <v>332</v>
      </c>
      <c r="C612" s="69" t="s">
        <v>68</v>
      </c>
      <c r="D612" s="43"/>
      <c r="E612" s="43"/>
      <c r="F612" s="43"/>
      <c r="G612" s="43"/>
      <c r="H612" s="43"/>
      <c r="I612" s="43"/>
      <c r="J612" s="4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</row>
    <row r="613">
      <c r="A613" s="59" t="s">
        <v>330</v>
      </c>
      <c r="B613" s="60" t="s">
        <v>333</v>
      </c>
      <c r="C613" s="69" t="s">
        <v>33</v>
      </c>
      <c r="D613" s="43"/>
      <c r="E613" s="43"/>
      <c r="F613" s="43"/>
      <c r="G613" s="43"/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</row>
    <row r="614">
      <c r="A614" s="59" t="s">
        <v>330</v>
      </c>
      <c r="B614" s="60" t="s">
        <v>333</v>
      </c>
      <c r="C614" s="69" t="s">
        <v>38</v>
      </c>
      <c r="D614" s="43"/>
      <c r="E614" s="43"/>
      <c r="F614" s="43"/>
      <c r="G614" s="43"/>
      <c r="H614" s="43"/>
      <c r="I614" s="43"/>
      <c r="J614" s="4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</row>
    <row r="615">
      <c r="A615" s="59" t="s">
        <v>330</v>
      </c>
      <c r="B615" s="60" t="s">
        <v>333</v>
      </c>
      <c r="C615" s="69" t="s">
        <v>68</v>
      </c>
      <c r="D615" s="43"/>
      <c r="E615" s="43"/>
      <c r="F615" s="43"/>
      <c r="G615" s="43"/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</row>
    <row r="616">
      <c r="A616" s="59" t="s">
        <v>330</v>
      </c>
      <c r="B616" s="60" t="s">
        <v>334</v>
      </c>
      <c r="C616" s="69" t="s">
        <v>33</v>
      </c>
      <c r="D616" s="43"/>
      <c r="E616" s="43"/>
      <c r="F616" s="43"/>
      <c r="G616" s="43"/>
      <c r="H616" s="43"/>
      <c r="I616" s="43"/>
      <c r="J616" s="4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</row>
    <row r="617">
      <c r="A617" s="59" t="s">
        <v>330</v>
      </c>
      <c r="B617" s="60" t="s">
        <v>334</v>
      </c>
      <c r="C617" s="69" t="s">
        <v>38</v>
      </c>
      <c r="D617" s="43"/>
      <c r="E617" s="43"/>
      <c r="F617" s="43"/>
      <c r="G617" s="43"/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</row>
    <row r="618">
      <c r="A618" s="59" t="s">
        <v>330</v>
      </c>
      <c r="B618" s="60" t="s">
        <v>334</v>
      </c>
      <c r="C618" s="69" t="s">
        <v>68</v>
      </c>
      <c r="D618" s="43"/>
      <c r="E618" s="43"/>
      <c r="F618" s="43"/>
      <c r="G618" s="43"/>
      <c r="H618" s="43"/>
      <c r="I618" s="43"/>
      <c r="J618" s="4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</row>
    <row r="619">
      <c r="A619" s="59" t="s">
        <v>330</v>
      </c>
      <c r="B619" s="60" t="s">
        <v>335</v>
      </c>
      <c r="C619" s="69" t="s">
        <v>33</v>
      </c>
      <c r="D619" s="43"/>
      <c r="E619" s="43"/>
      <c r="F619" s="43"/>
      <c r="G619" s="43"/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</row>
    <row r="620">
      <c r="A620" s="59" t="s">
        <v>330</v>
      </c>
      <c r="B620" s="60" t="s">
        <v>335</v>
      </c>
      <c r="C620" s="69" t="s">
        <v>38</v>
      </c>
      <c r="D620" s="43"/>
      <c r="E620" s="43"/>
      <c r="F620" s="43"/>
      <c r="G620" s="43"/>
      <c r="H620" s="43"/>
      <c r="I620" s="43"/>
      <c r="J620" s="4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</row>
    <row r="621">
      <c r="A621" s="59" t="s">
        <v>330</v>
      </c>
      <c r="B621" s="60" t="s">
        <v>335</v>
      </c>
      <c r="C621" s="69" t="s">
        <v>68</v>
      </c>
      <c r="D621" s="43"/>
      <c r="E621" s="43"/>
      <c r="F621" s="43"/>
      <c r="G621" s="43"/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</row>
    <row r="622">
      <c r="A622" s="59" t="s">
        <v>330</v>
      </c>
      <c r="B622" s="60" t="s">
        <v>336</v>
      </c>
      <c r="C622" s="69" t="s">
        <v>33</v>
      </c>
      <c r="D622" s="43"/>
      <c r="E622" s="43"/>
      <c r="F622" s="43"/>
      <c r="G622" s="43"/>
      <c r="H622" s="43"/>
      <c r="I622" s="43"/>
      <c r="J622" s="4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</row>
    <row r="623">
      <c r="A623" s="59" t="s">
        <v>330</v>
      </c>
      <c r="B623" s="60" t="s">
        <v>336</v>
      </c>
      <c r="C623" s="69" t="s">
        <v>38</v>
      </c>
      <c r="D623" s="43"/>
      <c r="E623" s="43"/>
      <c r="F623" s="43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</row>
    <row r="624">
      <c r="A624" s="59" t="s">
        <v>330</v>
      </c>
      <c r="B624" s="60" t="s">
        <v>336</v>
      </c>
      <c r="C624" s="69" t="s">
        <v>68</v>
      </c>
      <c r="D624" s="43"/>
      <c r="E624" s="43"/>
      <c r="F624" s="43"/>
      <c r="G624" s="43"/>
      <c r="H624" s="43"/>
      <c r="I624" s="43"/>
      <c r="J624" s="4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</row>
    <row r="625">
      <c r="A625" s="59" t="s">
        <v>330</v>
      </c>
      <c r="B625" s="60" t="s">
        <v>337</v>
      </c>
      <c r="C625" s="69" t="s">
        <v>33</v>
      </c>
      <c r="D625" s="43"/>
      <c r="E625" s="43"/>
      <c r="F625" s="43"/>
      <c r="G625" s="43"/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</row>
    <row r="626">
      <c r="A626" s="59" t="s">
        <v>330</v>
      </c>
      <c r="B626" s="60" t="s">
        <v>337</v>
      </c>
      <c r="C626" s="69" t="s">
        <v>38</v>
      </c>
      <c r="D626" s="43"/>
      <c r="E626" s="43"/>
      <c r="F626" s="43"/>
      <c r="G626" s="43"/>
      <c r="H626" s="43"/>
      <c r="I626" s="43"/>
      <c r="J626" s="4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</row>
    <row r="627">
      <c r="A627" s="59" t="s">
        <v>330</v>
      </c>
      <c r="B627" s="60" t="s">
        <v>337</v>
      </c>
      <c r="C627" s="69" t="s">
        <v>68</v>
      </c>
      <c r="D627" s="43"/>
      <c r="E627" s="43"/>
      <c r="F627" s="43"/>
      <c r="G627" s="43"/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</row>
    <row r="628">
      <c r="A628" s="59" t="s">
        <v>330</v>
      </c>
      <c r="B628" s="60" t="s">
        <v>338</v>
      </c>
      <c r="C628" s="69" t="s">
        <v>33</v>
      </c>
      <c r="D628" s="43"/>
      <c r="E628" s="43"/>
      <c r="F628" s="43"/>
      <c r="G628" s="43"/>
      <c r="H628" s="43"/>
      <c r="I628" s="43"/>
      <c r="J628" s="4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</row>
    <row r="629">
      <c r="A629" s="59" t="s">
        <v>330</v>
      </c>
      <c r="B629" s="60" t="s">
        <v>338</v>
      </c>
      <c r="C629" s="69" t="s">
        <v>38</v>
      </c>
      <c r="D629" s="43"/>
      <c r="E629" s="43"/>
      <c r="F629" s="43"/>
      <c r="G629" s="43"/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</row>
    <row r="630">
      <c r="A630" s="59" t="s">
        <v>330</v>
      </c>
      <c r="B630" s="60" t="s">
        <v>338</v>
      </c>
      <c r="C630" s="69" t="s">
        <v>68</v>
      </c>
      <c r="D630" s="43"/>
      <c r="E630" s="43"/>
      <c r="F630" s="43"/>
      <c r="G630" s="43"/>
      <c r="H630" s="43"/>
      <c r="I630" s="43"/>
      <c r="J630" s="4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</row>
    <row r="631">
      <c r="A631" s="59" t="s">
        <v>330</v>
      </c>
      <c r="B631" s="60" t="s">
        <v>339</v>
      </c>
      <c r="C631" s="69" t="s">
        <v>33</v>
      </c>
      <c r="D631" s="43"/>
      <c r="E631" s="43"/>
      <c r="F631" s="43"/>
      <c r="G631" s="43"/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</row>
    <row r="632">
      <c r="A632" s="59" t="s">
        <v>330</v>
      </c>
      <c r="B632" s="60" t="s">
        <v>339</v>
      </c>
      <c r="C632" s="69" t="s">
        <v>38</v>
      </c>
      <c r="D632" s="43"/>
      <c r="E632" s="43"/>
      <c r="F632" s="43"/>
      <c r="G632" s="43"/>
      <c r="H632" s="43"/>
      <c r="I632" s="43"/>
      <c r="J632" s="4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</row>
    <row r="633">
      <c r="A633" s="59" t="s">
        <v>330</v>
      </c>
      <c r="B633" s="60" t="s">
        <v>339</v>
      </c>
      <c r="C633" s="69" t="s">
        <v>68</v>
      </c>
      <c r="D633" s="43"/>
      <c r="E633" s="43"/>
      <c r="F633" s="43"/>
      <c r="G633" s="43"/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</row>
    <row r="634">
      <c r="A634" s="59" t="s">
        <v>330</v>
      </c>
      <c r="B634" s="60" t="s">
        <v>340</v>
      </c>
      <c r="C634" s="69" t="s">
        <v>33</v>
      </c>
      <c r="D634" s="43"/>
      <c r="E634" s="43"/>
      <c r="F634" s="43"/>
      <c r="G634" s="43"/>
      <c r="H634" s="43"/>
      <c r="I634" s="43"/>
      <c r="J634" s="4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</row>
    <row r="635">
      <c r="A635" s="59" t="s">
        <v>330</v>
      </c>
      <c r="B635" s="60" t="s">
        <v>340</v>
      </c>
      <c r="C635" s="69" t="s">
        <v>38</v>
      </c>
      <c r="D635" s="43"/>
      <c r="E635" s="43"/>
      <c r="F635" s="43"/>
      <c r="G635" s="43"/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</row>
    <row r="636">
      <c r="A636" s="59" t="s">
        <v>330</v>
      </c>
      <c r="B636" s="60" t="s">
        <v>340</v>
      </c>
      <c r="C636" s="69" t="s">
        <v>68</v>
      </c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</row>
    <row r="637">
      <c r="A637" s="59" t="s">
        <v>330</v>
      </c>
      <c r="B637" s="60" t="s">
        <v>341</v>
      </c>
      <c r="C637" s="69" t="s">
        <v>33</v>
      </c>
      <c r="D637" s="43"/>
      <c r="E637" s="43"/>
      <c r="F637" s="43"/>
      <c r="G637" s="43"/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</row>
    <row r="638">
      <c r="A638" s="59" t="s">
        <v>330</v>
      </c>
      <c r="B638" s="60" t="s">
        <v>341</v>
      </c>
      <c r="C638" s="69" t="s">
        <v>38</v>
      </c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</row>
    <row r="639">
      <c r="A639" s="59" t="s">
        <v>330</v>
      </c>
      <c r="B639" s="60" t="s">
        <v>341</v>
      </c>
      <c r="C639" s="69" t="s">
        <v>68</v>
      </c>
      <c r="D639" s="43"/>
      <c r="E639" s="43"/>
      <c r="F639" s="43"/>
      <c r="G639" s="43"/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</row>
    <row r="640">
      <c r="A640" s="59" t="s">
        <v>330</v>
      </c>
      <c r="B640" s="60" t="s">
        <v>342</v>
      </c>
      <c r="C640" s="69" t="s">
        <v>33</v>
      </c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</row>
    <row r="641">
      <c r="A641" s="59" t="s">
        <v>330</v>
      </c>
      <c r="B641" s="60" t="s">
        <v>342</v>
      </c>
      <c r="C641" s="69" t="s">
        <v>38</v>
      </c>
      <c r="D641" s="43"/>
      <c r="E641" s="43"/>
      <c r="F641" s="43"/>
      <c r="G641" s="43"/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</row>
    <row r="642">
      <c r="A642" s="59" t="s">
        <v>330</v>
      </c>
      <c r="B642" s="60" t="s">
        <v>342</v>
      </c>
      <c r="C642" s="69" t="s">
        <v>68</v>
      </c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</row>
    <row r="643">
      <c r="A643" s="59" t="s">
        <v>330</v>
      </c>
      <c r="B643" s="60" t="s">
        <v>343</v>
      </c>
      <c r="C643" s="69" t="s">
        <v>33</v>
      </c>
      <c r="D643" s="43"/>
      <c r="E643" s="43"/>
      <c r="F643" s="43"/>
      <c r="G643" s="43"/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</row>
    <row r="644">
      <c r="A644" s="59" t="s">
        <v>330</v>
      </c>
      <c r="B644" s="60" t="s">
        <v>343</v>
      </c>
      <c r="C644" s="69" t="s">
        <v>38</v>
      </c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</row>
    <row r="645">
      <c r="A645" s="59" t="s">
        <v>330</v>
      </c>
      <c r="B645" s="60" t="s">
        <v>343</v>
      </c>
      <c r="C645" s="69" t="s">
        <v>68</v>
      </c>
      <c r="D645" s="43"/>
      <c r="E645" s="43"/>
      <c r="F645" s="43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</row>
    <row r="646">
      <c r="A646" s="59" t="s">
        <v>330</v>
      </c>
      <c r="B646" s="60" t="s">
        <v>344</v>
      </c>
      <c r="C646" s="69" t="s">
        <v>33</v>
      </c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</row>
    <row r="647">
      <c r="A647" s="59" t="s">
        <v>330</v>
      </c>
      <c r="B647" s="60" t="s">
        <v>344</v>
      </c>
      <c r="C647" s="69" t="s">
        <v>38</v>
      </c>
      <c r="D647" s="43"/>
      <c r="E647" s="43"/>
      <c r="F647" s="43"/>
      <c r="G647" s="43"/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</row>
    <row r="648">
      <c r="A648" s="59" t="s">
        <v>330</v>
      </c>
      <c r="B648" s="60" t="s">
        <v>344</v>
      </c>
      <c r="C648" s="69" t="s">
        <v>68</v>
      </c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</row>
    <row r="649">
      <c r="A649" s="59" t="s">
        <v>330</v>
      </c>
      <c r="B649" s="60" t="s">
        <v>345</v>
      </c>
      <c r="C649" s="69" t="s">
        <v>33</v>
      </c>
      <c r="D649" s="43"/>
      <c r="E649" s="43"/>
      <c r="F649" s="43"/>
      <c r="G649" s="43"/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</row>
    <row r="650">
      <c r="A650" s="59" t="s">
        <v>330</v>
      </c>
      <c r="B650" s="60" t="s">
        <v>345</v>
      </c>
      <c r="C650" s="69" t="s">
        <v>38</v>
      </c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</row>
    <row r="651">
      <c r="A651" s="59" t="s">
        <v>330</v>
      </c>
      <c r="B651" s="60" t="s">
        <v>345</v>
      </c>
      <c r="C651" s="69" t="s">
        <v>68</v>
      </c>
      <c r="D651" s="43"/>
      <c r="E651" s="43"/>
      <c r="F651" s="43"/>
      <c r="G651" s="43"/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</row>
    <row r="652">
      <c r="A652" s="59" t="s">
        <v>330</v>
      </c>
      <c r="B652" s="60" t="s">
        <v>346</v>
      </c>
      <c r="C652" s="69" t="s">
        <v>33</v>
      </c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</row>
    <row r="653">
      <c r="A653" s="59" t="s">
        <v>330</v>
      </c>
      <c r="B653" s="60" t="s">
        <v>346</v>
      </c>
      <c r="C653" s="69" t="s">
        <v>38</v>
      </c>
      <c r="D653" s="43"/>
      <c r="E653" s="43"/>
      <c r="F653" s="43"/>
      <c r="G653" s="43"/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</row>
    <row r="654">
      <c r="A654" s="59" t="s">
        <v>330</v>
      </c>
      <c r="B654" s="60" t="s">
        <v>346</v>
      </c>
      <c r="C654" s="69" t="s">
        <v>68</v>
      </c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</row>
    <row r="655">
      <c r="A655" s="59" t="s">
        <v>330</v>
      </c>
      <c r="B655" s="60" t="s">
        <v>347</v>
      </c>
      <c r="C655" s="69" t="s">
        <v>33</v>
      </c>
      <c r="D655" s="43"/>
      <c r="E655" s="43"/>
      <c r="F655" s="43"/>
      <c r="G655" s="43"/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</row>
    <row r="656">
      <c r="A656" s="59" t="s">
        <v>330</v>
      </c>
      <c r="B656" s="60" t="s">
        <v>347</v>
      </c>
      <c r="C656" s="69" t="s">
        <v>38</v>
      </c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</row>
    <row r="657">
      <c r="A657" s="59" t="s">
        <v>330</v>
      </c>
      <c r="B657" s="60" t="s">
        <v>347</v>
      </c>
      <c r="C657" s="69" t="s">
        <v>68</v>
      </c>
      <c r="D657" s="43"/>
      <c r="E657" s="43"/>
      <c r="F657" s="43"/>
      <c r="G657" s="43"/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</row>
    <row r="658">
      <c r="A658" s="59" t="s">
        <v>330</v>
      </c>
      <c r="B658" s="60" t="s">
        <v>348</v>
      </c>
      <c r="C658" s="69" t="s">
        <v>33</v>
      </c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</row>
    <row r="659">
      <c r="A659" s="59" t="s">
        <v>330</v>
      </c>
      <c r="B659" s="60" t="s">
        <v>348</v>
      </c>
      <c r="C659" s="69" t="s">
        <v>38</v>
      </c>
      <c r="D659" s="43"/>
      <c r="E659" s="43"/>
      <c r="F659" s="43"/>
      <c r="G659" s="43"/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</row>
    <row r="660">
      <c r="A660" s="59" t="s">
        <v>330</v>
      </c>
      <c r="B660" s="60" t="s">
        <v>348</v>
      </c>
      <c r="C660" s="69" t="s">
        <v>68</v>
      </c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</row>
    <row r="661">
      <c r="A661" s="59" t="s">
        <v>330</v>
      </c>
      <c r="B661" s="60" t="s">
        <v>349</v>
      </c>
      <c r="C661" s="69" t="s">
        <v>33</v>
      </c>
      <c r="D661" s="43"/>
      <c r="E661" s="43"/>
      <c r="F661" s="43"/>
      <c r="G661" s="43"/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</row>
    <row r="662">
      <c r="A662" s="59" t="s">
        <v>330</v>
      </c>
      <c r="B662" s="60" t="s">
        <v>349</v>
      </c>
      <c r="C662" s="69" t="s">
        <v>38</v>
      </c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</row>
    <row r="663">
      <c r="A663" s="59" t="s">
        <v>330</v>
      </c>
      <c r="B663" s="60" t="s">
        <v>349</v>
      </c>
      <c r="C663" s="69" t="s">
        <v>68</v>
      </c>
      <c r="D663" s="43"/>
      <c r="E663" s="43"/>
      <c r="F663" s="43"/>
      <c r="G663" s="43"/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</row>
    <row r="664">
      <c r="A664" s="59" t="s">
        <v>330</v>
      </c>
      <c r="B664" s="60" t="s">
        <v>350</v>
      </c>
      <c r="C664" s="69" t="s">
        <v>33</v>
      </c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</row>
    <row r="665">
      <c r="A665" s="59" t="s">
        <v>330</v>
      </c>
      <c r="B665" s="60" t="s">
        <v>350</v>
      </c>
      <c r="C665" s="69" t="s">
        <v>38</v>
      </c>
      <c r="D665" s="43"/>
      <c r="E665" s="43"/>
      <c r="F665" s="43"/>
      <c r="G665" s="43"/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</row>
    <row r="666">
      <c r="A666" s="59" t="s">
        <v>330</v>
      </c>
      <c r="B666" s="60" t="s">
        <v>350</v>
      </c>
      <c r="C666" s="69" t="s">
        <v>68</v>
      </c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</row>
    <row r="667">
      <c r="A667" s="59" t="s">
        <v>330</v>
      </c>
      <c r="B667" s="60" t="s">
        <v>351</v>
      </c>
      <c r="C667" s="69" t="s">
        <v>33</v>
      </c>
      <c r="D667" s="43"/>
      <c r="E667" s="43"/>
      <c r="F667" s="43"/>
      <c r="G667" s="43"/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</row>
    <row r="668">
      <c r="A668" s="59" t="s">
        <v>330</v>
      </c>
      <c r="B668" s="60" t="s">
        <v>351</v>
      </c>
      <c r="C668" s="69" t="s">
        <v>38</v>
      </c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</row>
    <row r="669">
      <c r="A669" s="59" t="s">
        <v>330</v>
      </c>
      <c r="B669" s="60" t="s">
        <v>351</v>
      </c>
      <c r="C669" s="69" t="s">
        <v>68</v>
      </c>
      <c r="D669" s="43"/>
      <c r="E669" s="43"/>
      <c r="F669" s="43"/>
      <c r="G669" s="43"/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</row>
    <row r="670">
      <c r="A670" s="59" t="s">
        <v>330</v>
      </c>
      <c r="B670" s="60" t="s">
        <v>352</v>
      </c>
      <c r="C670" s="69" t="s">
        <v>33</v>
      </c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</row>
    <row r="671">
      <c r="A671" s="59" t="s">
        <v>330</v>
      </c>
      <c r="B671" s="60" t="s">
        <v>352</v>
      </c>
      <c r="C671" s="69" t="s">
        <v>38</v>
      </c>
      <c r="D671" s="43"/>
      <c r="E671" s="43"/>
      <c r="F671" s="43"/>
      <c r="G671" s="43"/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</row>
    <row r="672">
      <c r="A672" s="59" t="s">
        <v>330</v>
      </c>
      <c r="B672" s="60" t="s">
        <v>352</v>
      </c>
      <c r="C672" s="69" t="s">
        <v>68</v>
      </c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</row>
    <row r="673">
      <c r="A673" s="61" t="s">
        <v>353</v>
      </c>
      <c r="B673" s="65" t="s">
        <v>354</v>
      </c>
      <c r="C673" s="61" t="s">
        <v>36</v>
      </c>
      <c r="D673" s="43"/>
      <c r="E673" s="43"/>
      <c r="F673" s="43"/>
      <c r="G673" s="43"/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</row>
    <row r="674">
      <c r="A674" s="61" t="s">
        <v>353</v>
      </c>
      <c r="B674" s="65" t="s">
        <v>354</v>
      </c>
      <c r="C674" s="61" t="s">
        <v>51</v>
      </c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</row>
    <row r="675">
      <c r="A675" s="61" t="s">
        <v>353</v>
      </c>
      <c r="B675" s="65" t="s">
        <v>355</v>
      </c>
      <c r="C675" s="61" t="s">
        <v>36</v>
      </c>
      <c r="D675" s="43"/>
      <c r="E675" s="43"/>
      <c r="F675" s="43"/>
      <c r="G675" s="43"/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</row>
    <row r="676">
      <c r="A676" s="61" t="s">
        <v>353</v>
      </c>
      <c r="B676" s="65" t="s">
        <v>355</v>
      </c>
      <c r="C676" s="61" t="s">
        <v>51</v>
      </c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</row>
    <row r="677">
      <c r="A677" s="61" t="s">
        <v>353</v>
      </c>
      <c r="B677" s="65" t="s">
        <v>356</v>
      </c>
      <c r="C677" s="61" t="s">
        <v>36</v>
      </c>
      <c r="D677" s="43"/>
      <c r="E677" s="43"/>
      <c r="F677" s="43"/>
      <c r="G677" s="43"/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</row>
    <row r="678">
      <c r="A678" s="61" t="s">
        <v>353</v>
      </c>
      <c r="B678" s="65" t="s">
        <v>356</v>
      </c>
      <c r="C678" s="61" t="s">
        <v>51</v>
      </c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</row>
    <row r="679">
      <c r="A679" s="61" t="s">
        <v>353</v>
      </c>
      <c r="B679" s="65" t="s">
        <v>357</v>
      </c>
      <c r="C679" s="61" t="s">
        <v>36</v>
      </c>
      <c r="D679" s="43"/>
      <c r="E679" s="43"/>
      <c r="F679" s="43"/>
      <c r="G679" s="43"/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</row>
    <row r="680">
      <c r="A680" s="61" t="s">
        <v>353</v>
      </c>
      <c r="B680" s="65" t="s">
        <v>357</v>
      </c>
      <c r="C680" s="61" t="s">
        <v>51</v>
      </c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</row>
    <row r="681">
      <c r="A681" s="61" t="s">
        <v>353</v>
      </c>
      <c r="B681" s="65" t="s">
        <v>358</v>
      </c>
      <c r="C681" s="61" t="s">
        <v>36</v>
      </c>
      <c r="D681" s="43"/>
      <c r="E681" s="43"/>
      <c r="F681" s="43"/>
      <c r="G681" s="43"/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</row>
    <row r="682">
      <c r="A682" s="61" t="s">
        <v>353</v>
      </c>
      <c r="B682" s="65" t="s">
        <v>358</v>
      </c>
      <c r="C682" s="61" t="s">
        <v>51</v>
      </c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</row>
    <row r="683">
      <c r="A683" s="61" t="s">
        <v>353</v>
      </c>
      <c r="B683" s="65" t="s">
        <v>359</v>
      </c>
      <c r="C683" s="61" t="s">
        <v>36</v>
      </c>
      <c r="D683" s="43"/>
      <c r="E683" s="43"/>
      <c r="F683" s="43"/>
      <c r="G683" s="43"/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</row>
    <row r="684">
      <c r="A684" s="61" t="s">
        <v>353</v>
      </c>
      <c r="B684" s="65" t="s">
        <v>359</v>
      </c>
      <c r="C684" s="61" t="s">
        <v>51</v>
      </c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</row>
    <row r="685">
      <c r="A685" s="61" t="s">
        <v>353</v>
      </c>
      <c r="B685" s="65" t="s">
        <v>360</v>
      </c>
      <c r="C685" s="61" t="s">
        <v>36</v>
      </c>
      <c r="D685" s="43"/>
      <c r="E685" s="43"/>
      <c r="F685" s="43"/>
      <c r="G685" s="43"/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</row>
    <row r="686">
      <c r="A686" s="61" t="s">
        <v>353</v>
      </c>
      <c r="B686" s="65" t="s">
        <v>360</v>
      </c>
      <c r="C686" s="61" t="s">
        <v>51</v>
      </c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</row>
    <row r="687">
      <c r="A687" s="61" t="s">
        <v>353</v>
      </c>
      <c r="B687" s="65" t="s">
        <v>361</v>
      </c>
      <c r="C687" s="61" t="s">
        <v>36</v>
      </c>
      <c r="D687" s="43"/>
      <c r="E687" s="43"/>
      <c r="F687" s="43"/>
      <c r="G687" s="43"/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</row>
    <row r="688">
      <c r="A688" s="61" t="s">
        <v>353</v>
      </c>
      <c r="B688" s="65" t="s">
        <v>361</v>
      </c>
      <c r="C688" s="61" t="s">
        <v>51</v>
      </c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</row>
    <row r="689">
      <c r="A689" s="61" t="s">
        <v>353</v>
      </c>
      <c r="B689" s="65" t="s">
        <v>362</v>
      </c>
      <c r="C689" s="61" t="s">
        <v>36</v>
      </c>
      <c r="D689" s="43"/>
      <c r="E689" s="43"/>
      <c r="F689" s="43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</row>
    <row r="690">
      <c r="A690" s="61" t="s">
        <v>353</v>
      </c>
      <c r="B690" s="65" t="s">
        <v>362</v>
      </c>
      <c r="C690" s="61" t="s">
        <v>51</v>
      </c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</row>
    <row r="691">
      <c r="A691" s="61" t="s">
        <v>353</v>
      </c>
      <c r="B691" s="65" t="s">
        <v>363</v>
      </c>
      <c r="C691" s="61" t="s">
        <v>36</v>
      </c>
      <c r="D691" s="43"/>
      <c r="E691" s="43"/>
      <c r="F691" s="43"/>
      <c r="G691" s="43"/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</row>
    <row r="692">
      <c r="A692" s="61" t="s">
        <v>353</v>
      </c>
      <c r="B692" s="65" t="s">
        <v>363</v>
      </c>
      <c r="C692" s="61" t="s">
        <v>51</v>
      </c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</row>
    <row r="693">
      <c r="A693" s="61" t="s">
        <v>353</v>
      </c>
      <c r="B693" s="65" t="s">
        <v>364</v>
      </c>
      <c r="C693" s="61" t="s">
        <v>36</v>
      </c>
      <c r="D693" s="43"/>
      <c r="E693" s="43"/>
      <c r="F693" s="43"/>
      <c r="G693" s="43"/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</row>
    <row r="694">
      <c r="A694" s="61" t="s">
        <v>353</v>
      </c>
      <c r="B694" s="65" t="s">
        <v>364</v>
      </c>
      <c r="C694" s="61" t="s">
        <v>51</v>
      </c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</row>
    <row r="695">
      <c r="A695" s="61" t="s">
        <v>353</v>
      </c>
      <c r="B695" s="65" t="s">
        <v>365</v>
      </c>
      <c r="C695" s="61" t="s">
        <v>36</v>
      </c>
      <c r="D695" s="43"/>
      <c r="E695" s="43"/>
      <c r="F695" s="43"/>
      <c r="G695" s="43"/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</row>
    <row r="696">
      <c r="A696" s="61" t="s">
        <v>353</v>
      </c>
      <c r="B696" s="65" t="s">
        <v>365</v>
      </c>
      <c r="C696" s="61" t="s">
        <v>51</v>
      </c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</row>
    <row r="697">
      <c r="A697" s="61" t="s">
        <v>353</v>
      </c>
      <c r="B697" s="65" t="s">
        <v>366</v>
      </c>
      <c r="C697" s="61" t="s">
        <v>36</v>
      </c>
      <c r="D697" s="43"/>
      <c r="E697" s="43"/>
      <c r="F697" s="43"/>
      <c r="G697" s="43"/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</row>
    <row r="698">
      <c r="A698" s="61" t="s">
        <v>353</v>
      </c>
      <c r="B698" s="65" t="s">
        <v>366</v>
      </c>
      <c r="C698" s="61" t="s">
        <v>51</v>
      </c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</row>
    <row r="699">
      <c r="A699" s="9" t="s">
        <v>367</v>
      </c>
      <c r="B699" s="66" t="s">
        <v>368</v>
      </c>
      <c r="C699" s="9" t="s">
        <v>33</v>
      </c>
      <c r="D699" s="43"/>
      <c r="E699" s="43"/>
      <c r="F699" s="43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</row>
    <row r="700">
      <c r="A700" s="9" t="s">
        <v>367</v>
      </c>
      <c r="B700" s="66" t="s">
        <v>368</v>
      </c>
      <c r="C700" s="9" t="s">
        <v>38</v>
      </c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</row>
    <row r="701">
      <c r="A701" s="9" t="s">
        <v>367</v>
      </c>
      <c r="B701" s="66" t="s">
        <v>368</v>
      </c>
      <c r="C701" s="9" t="s">
        <v>245</v>
      </c>
      <c r="D701" s="43"/>
      <c r="E701" s="43"/>
      <c r="F701" s="43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</row>
    <row r="702">
      <c r="A702" s="9" t="s">
        <v>367</v>
      </c>
      <c r="B702" s="66" t="s">
        <v>369</v>
      </c>
      <c r="C702" s="9" t="s">
        <v>33</v>
      </c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</row>
    <row r="703">
      <c r="A703" s="9" t="s">
        <v>367</v>
      </c>
      <c r="B703" s="66" t="s">
        <v>369</v>
      </c>
      <c r="C703" s="9" t="s">
        <v>38</v>
      </c>
      <c r="D703" s="43"/>
      <c r="E703" s="43"/>
      <c r="F703" s="43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</row>
    <row r="704">
      <c r="A704" s="9" t="s">
        <v>367</v>
      </c>
      <c r="B704" s="66" t="s">
        <v>369</v>
      </c>
      <c r="C704" s="9" t="s">
        <v>68</v>
      </c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</row>
    <row r="705">
      <c r="A705" s="9" t="s">
        <v>367</v>
      </c>
      <c r="B705" s="66" t="s">
        <v>370</v>
      </c>
      <c r="C705" s="9" t="s">
        <v>33</v>
      </c>
      <c r="D705" s="43"/>
      <c r="E705" s="43"/>
      <c r="F705" s="43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</row>
    <row r="706">
      <c r="A706" s="9" t="s">
        <v>367</v>
      </c>
      <c r="B706" s="66" t="s">
        <v>370</v>
      </c>
      <c r="C706" s="9" t="s">
        <v>38</v>
      </c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</row>
    <row r="707">
      <c r="A707" s="9" t="s">
        <v>367</v>
      </c>
      <c r="B707" s="66" t="s">
        <v>370</v>
      </c>
      <c r="C707" s="9" t="s">
        <v>245</v>
      </c>
      <c r="D707" s="43"/>
      <c r="E707" s="43"/>
      <c r="F707" s="43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</row>
    <row r="708">
      <c r="A708" s="9" t="s">
        <v>367</v>
      </c>
      <c r="B708" s="66" t="s">
        <v>371</v>
      </c>
      <c r="C708" s="9" t="s">
        <v>33</v>
      </c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</row>
    <row r="709">
      <c r="A709" s="9" t="s">
        <v>367</v>
      </c>
      <c r="B709" s="66" t="s">
        <v>371</v>
      </c>
      <c r="C709" s="9" t="s">
        <v>38</v>
      </c>
      <c r="D709" s="43"/>
      <c r="E709" s="43"/>
      <c r="F709" s="43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</row>
    <row r="710">
      <c r="A710" s="9" t="s">
        <v>367</v>
      </c>
      <c r="B710" s="66" t="s">
        <v>371</v>
      </c>
      <c r="C710" s="9" t="s">
        <v>245</v>
      </c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</row>
    <row r="711">
      <c r="A711" s="9" t="s">
        <v>367</v>
      </c>
      <c r="B711" s="66" t="s">
        <v>372</v>
      </c>
      <c r="C711" s="9" t="s">
        <v>33</v>
      </c>
      <c r="D711" s="43"/>
      <c r="E711" s="43"/>
      <c r="F711" s="43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</row>
    <row r="712">
      <c r="A712" s="9" t="s">
        <v>367</v>
      </c>
      <c r="B712" s="66" t="s">
        <v>372</v>
      </c>
      <c r="C712" s="9" t="s">
        <v>38</v>
      </c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</row>
    <row r="713">
      <c r="A713" s="9" t="s">
        <v>367</v>
      </c>
      <c r="B713" s="66" t="s">
        <v>372</v>
      </c>
      <c r="C713" s="9" t="s">
        <v>245</v>
      </c>
      <c r="D713" s="43"/>
      <c r="E713" s="43"/>
      <c r="F713" s="43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</row>
    <row r="714">
      <c r="A714" s="9" t="s">
        <v>367</v>
      </c>
      <c r="B714" s="66" t="s">
        <v>373</v>
      </c>
      <c r="C714" s="9" t="s">
        <v>33</v>
      </c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</row>
    <row r="715">
      <c r="A715" s="9" t="s">
        <v>367</v>
      </c>
      <c r="B715" s="66" t="s">
        <v>373</v>
      </c>
      <c r="C715" s="9" t="s">
        <v>38</v>
      </c>
      <c r="D715" s="43"/>
      <c r="E715" s="43"/>
      <c r="F715" s="43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</row>
    <row r="716">
      <c r="A716" s="9" t="s">
        <v>367</v>
      </c>
      <c r="B716" s="66" t="s">
        <v>373</v>
      </c>
      <c r="C716" s="9" t="s">
        <v>245</v>
      </c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</row>
    <row r="717">
      <c r="A717" s="9" t="s">
        <v>367</v>
      </c>
      <c r="B717" s="66" t="s">
        <v>374</v>
      </c>
      <c r="C717" s="9" t="s">
        <v>33</v>
      </c>
      <c r="D717" s="43"/>
      <c r="E717" s="43"/>
      <c r="F717" s="43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</row>
    <row r="718">
      <c r="A718" s="9" t="s">
        <v>367</v>
      </c>
      <c r="B718" s="66" t="s">
        <v>374</v>
      </c>
      <c r="C718" s="9" t="s">
        <v>38</v>
      </c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</row>
    <row r="719">
      <c r="A719" s="9" t="s">
        <v>367</v>
      </c>
      <c r="B719" s="66" t="s">
        <v>374</v>
      </c>
      <c r="C719" s="9" t="s">
        <v>245</v>
      </c>
      <c r="D719" s="43"/>
      <c r="E719" s="43"/>
      <c r="F719" s="43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</row>
    <row r="720">
      <c r="A720" s="9" t="s">
        <v>367</v>
      </c>
      <c r="B720" s="66" t="s">
        <v>375</v>
      </c>
      <c r="C720" s="9" t="s">
        <v>33</v>
      </c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</row>
    <row r="721">
      <c r="A721" s="9" t="s">
        <v>367</v>
      </c>
      <c r="B721" s="66" t="s">
        <v>375</v>
      </c>
      <c r="C721" s="9" t="s">
        <v>38</v>
      </c>
      <c r="D721" s="43"/>
      <c r="E721" s="43"/>
      <c r="F721" s="43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</row>
    <row r="722">
      <c r="A722" s="9" t="s">
        <v>367</v>
      </c>
      <c r="B722" s="66" t="s">
        <v>375</v>
      </c>
      <c r="C722" s="9" t="s">
        <v>245</v>
      </c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</row>
    <row r="723">
      <c r="A723" s="44" t="s">
        <v>376</v>
      </c>
      <c r="B723" s="45" t="s">
        <v>377</v>
      </c>
      <c r="C723" s="44" t="s">
        <v>57</v>
      </c>
      <c r="D723" s="43"/>
      <c r="E723" s="43"/>
      <c r="F723" s="43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</row>
    <row r="724">
      <c r="A724" s="44" t="s">
        <v>376</v>
      </c>
      <c r="B724" s="45" t="s">
        <v>377</v>
      </c>
      <c r="C724" s="44" t="s">
        <v>59</v>
      </c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</row>
    <row r="725">
      <c r="A725" s="44" t="s">
        <v>376</v>
      </c>
      <c r="B725" s="45" t="s">
        <v>377</v>
      </c>
      <c r="C725" s="44" t="s">
        <v>63</v>
      </c>
      <c r="D725" s="43"/>
      <c r="E725" s="43"/>
      <c r="F725" s="43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</row>
    <row r="726">
      <c r="A726" s="44" t="s">
        <v>376</v>
      </c>
      <c r="B726" s="45" t="s">
        <v>378</v>
      </c>
      <c r="C726" s="44" t="s">
        <v>57</v>
      </c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</row>
    <row r="727">
      <c r="A727" s="44" t="s">
        <v>376</v>
      </c>
      <c r="B727" s="45" t="s">
        <v>378</v>
      </c>
      <c r="C727" s="44" t="s">
        <v>59</v>
      </c>
      <c r="D727" s="43"/>
      <c r="E727" s="43"/>
      <c r="F727" s="43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</row>
    <row r="728">
      <c r="A728" s="44" t="s">
        <v>376</v>
      </c>
      <c r="B728" s="45" t="s">
        <v>378</v>
      </c>
      <c r="C728" s="44" t="s">
        <v>63</v>
      </c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</row>
    <row r="729">
      <c r="A729" s="44" t="s">
        <v>376</v>
      </c>
      <c r="B729" s="45" t="s">
        <v>379</v>
      </c>
      <c r="C729" s="44" t="s">
        <v>57</v>
      </c>
      <c r="D729" s="43"/>
      <c r="E729" s="43"/>
      <c r="F729" s="43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</row>
    <row r="730">
      <c r="A730" s="44" t="s">
        <v>376</v>
      </c>
      <c r="B730" s="45" t="s">
        <v>379</v>
      </c>
      <c r="C730" s="44" t="s">
        <v>59</v>
      </c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</row>
    <row r="731">
      <c r="A731" s="44" t="s">
        <v>376</v>
      </c>
      <c r="B731" s="45" t="s">
        <v>379</v>
      </c>
      <c r="C731" s="44" t="s">
        <v>63</v>
      </c>
      <c r="D731" s="43"/>
      <c r="E731" s="43"/>
      <c r="F731" s="43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</row>
    <row r="732">
      <c r="A732" s="44" t="s">
        <v>376</v>
      </c>
      <c r="B732" s="45" t="s">
        <v>380</v>
      </c>
      <c r="C732" s="44" t="s">
        <v>57</v>
      </c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</row>
    <row r="733">
      <c r="A733" s="44" t="s">
        <v>376</v>
      </c>
      <c r="B733" s="45" t="s">
        <v>380</v>
      </c>
      <c r="C733" s="44" t="s">
        <v>59</v>
      </c>
      <c r="D733" s="43"/>
      <c r="E733" s="43"/>
      <c r="F733" s="43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</row>
    <row r="734">
      <c r="A734" s="44" t="s">
        <v>376</v>
      </c>
      <c r="B734" s="45" t="s">
        <v>380</v>
      </c>
      <c r="C734" s="44" t="s">
        <v>63</v>
      </c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</row>
    <row r="735">
      <c r="A735" s="44" t="s">
        <v>376</v>
      </c>
      <c r="B735" s="45" t="s">
        <v>381</v>
      </c>
      <c r="C735" s="44" t="s">
        <v>57</v>
      </c>
      <c r="D735" s="43"/>
      <c r="E735" s="43"/>
      <c r="F735" s="43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</row>
    <row r="736">
      <c r="A736" s="44" t="s">
        <v>376</v>
      </c>
      <c r="B736" s="45" t="s">
        <v>381</v>
      </c>
      <c r="C736" s="44" t="s">
        <v>59</v>
      </c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</row>
    <row r="737">
      <c r="A737" s="44" t="s">
        <v>376</v>
      </c>
      <c r="B737" s="45" t="s">
        <v>381</v>
      </c>
      <c r="C737" s="44" t="s">
        <v>63</v>
      </c>
      <c r="D737" s="43"/>
      <c r="E737" s="43"/>
      <c r="F737" s="43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</row>
    <row r="738">
      <c r="A738" s="44" t="s">
        <v>376</v>
      </c>
      <c r="B738" s="45" t="s">
        <v>382</v>
      </c>
      <c r="C738" s="44" t="s">
        <v>57</v>
      </c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</row>
    <row r="739">
      <c r="A739" s="44" t="s">
        <v>376</v>
      </c>
      <c r="B739" s="45" t="s">
        <v>382</v>
      </c>
      <c r="C739" s="44" t="s">
        <v>59</v>
      </c>
      <c r="D739" s="43"/>
      <c r="E739" s="43"/>
      <c r="F739" s="43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</row>
    <row r="740">
      <c r="A740" s="44" t="s">
        <v>376</v>
      </c>
      <c r="B740" s="45" t="s">
        <v>382</v>
      </c>
      <c r="C740" s="44" t="s">
        <v>63</v>
      </c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</row>
    <row r="741">
      <c r="A741" s="44" t="s">
        <v>376</v>
      </c>
      <c r="B741" s="45" t="s">
        <v>383</v>
      </c>
      <c r="C741" s="44" t="s">
        <v>57</v>
      </c>
      <c r="D741" s="43"/>
      <c r="E741" s="43"/>
      <c r="F741" s="43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</row>
    <row r="742">
      <c r="A742" s="44" t="s">
        <v>376</v>
      </c>
      <c r="B742" s="45" t="s">
        <v>383</v>
      </c>
      <c r="C742" s="44" t="s">
        <v>59</v>
      </c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</row>
    <row r="743">
      <c r="A743" s="44" t="s">
        <v>376</v>
      </c>
      <c r="B743" s="45" t="s">
        <v>383</v>
      </c>
      <c r="C743" s="44" t="s">
        <v>63</v>
      </c>
      <c r="D743" s="43"/>
      <c r="E743" s="43"/>
      <c r="F743" s="43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</row>
    <row r="744">
      <c r="A744" s="44" t="s">
        <v>376</v>
      </c>
      <c r="B744" s="45" t="s">
        <v>384</v>
      </c>
      <c r="C744" s="44" t="s">
        <v>57</v>
      </c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</row>
    <row r="745">
      <c r="A745" s="44" t="s">
        <v>376</v>
      </c>
      <c r="B745" s="45" t="s">
        <v>384</v>
      </c>
      <c r="C745" s="44" t="s">
        <v>59</v>
      </c>
      <c r="D745" s="43"/>
      <c r="E745" s="43"/>
      <c r="F745" s="43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</row>
    <row r="746">
      <c r="A746" s="44" t="s">
        <v>376</v>
      </c>
      <c r="B746" s="45" t="s">
        <v>384</v>
      </c>
      <c r="C746" s="44" t="s">
        <v>63</v>
      </c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</row>
    <row r="747">
      <c r="A747" s="44" t="s">
        <v>376</v>
      </c>
      <c r="B747" s="45" t="s">
        <v>385</v>
      </c>
      <c r="C747" s="44" t="s">
        <v>57</v>
      </c>
      <c r="D747" s="43"/>
      <c r="E747" s="43"/>
      <c r="F747" s="43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</row>
    <row r="748">
      <c r="A748" s="44" t="s">
        <v>376</v>
      </c>
      <c r="B748" s="45" t="s">
        <v>385</v>
      </c>
      <c r="C748" s="44" t="s">
        <v>59</v>
      </c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</row>
    <row r="749">
      <c r="A749" s="44" t="s">
        <v>376</v>
      </c>
      <c r="B749" s="45" t="s">
        <v>385</v>
      </c>
      <c r="C749" s="44" t="s">
        <v>63</v>
      </c>
      <c r="D749" s="43"/>
      <c r="E749" s="43"/>
      <c r="F749" s="43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</row>
    <row r="750">
      <c r="A750" s="44" t="s">
        <v>376</v>
      </c>
      <c r="B750" s="45" t="s">
        <v>386</v>
      </c>
      <c r="C750" s="44" t="s">
        <v>57</v>
      </c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</row>
    <row r="751">
      <c r="A751" s="44" t="s">
        <v>376</v>
      </c>
      <c r="B751" s="45" t="s">
        <v>386</v>
      </c>
      <c r="C751" s="44" t="s">
        <v>59</v>
      </c>
      <c r="D751" s="43"/>
      <c r="E751" s="43"/>
      <c r="F751" s="43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</row>
    <row r="752">
      <c r="A752" s="44" t="s">
        <v>376</v>
      </c>
      <c r="B752" s="45" t="s">
        <v>386</v>
      </c>
      <c r="C752" s="44" t="s">
        <v>63</v>
      </c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</row>
    <row r="753">
      <c r="A753" s="44" t="s">
        <v>376</v>
      </c>
      <c r="B753" s="45" t="s">
        <v>387</v>
      </c>
      <c r="C753" s="44" t="s">
        <v>57</v>
      </c>
      <c r="D753" s="43"/>
      <c r="E753" s="43"/>
      <c r="F753" s="43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</row>
    <row r="754">
      <c r="A754" s="44" t="s">
        <v>376</v>
      </c>
      <c r="B754" s="45" t="s">
        <v>387</v>
      </c>
      <c r="C754" s="44" t="s">
        <v>59</v>
      </c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</row>
    <row r="755">
      <c r="A755" s="44" t="s">
        <v>376</v>
      </c>
      <c r="B755" s="45" t="s">
        <v>387</v>
      </c>
      <c r="C755" s="44" t="s">
        <v>63</v>
      </c>
      <c r="D755" s="43"/>
      <c r="E755" s="43"/>
      <c r="F755" s="43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</row>
    <row r="756">
      <c r="A756" s="44" t="s">
        <v>376</v>
      </c>
      <c r="B756" s="45" t="s">
        <v>388</v>
      </c>
      <c r="C756" s="44" t="s">
        <v>57</v>
      </c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</row>
    <row r="757">
      <c r="A757" s="44" t="s">
        <v>376</v>
      </c>
      <c r="B757" s="45" t="s">
        <v>388</v>
      </c>
      <c r="C757" s="44" t="s">
        <v>59</v>
      </c>
      <c r="D757" s="43"/>
      <c r="E757" s="43"/>
      <c r="F757" s="43"/>
      <c r="G757" s="43"/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</row>
    <row r="758">
      <c r="A758" s="44" t="s">
        <v>376</v>
      </c>
      <c r="B758" s="45" t="s">
        <v>388</v>
      </c>
      <c r="C758" s="44" t="s">
        <v>63</v>
      </c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</row>
    <row r="759">
      <c r="A759" s="44" t="s">
        <v>376</v>
      </c>
      <c r="B759" s="45" t="s">
        <v>389</v>
      </c>
      <c r="C759" s="44" t="s">
        <v>57</v>
      </c>
      <c r="D759" s="43"/>
      <c r="E759" s="43"/>
      <c r="F759" s="43"/>
      <c r="G759" s="43"/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</row>
    <row r="760">
      <c r="A760" s="44" t="s">
        <v>376</v>
      </c>
      <c r="B760" s="45" t="s">
        <v>389</v>
      </c>
      <c r="C760" s="44" t="s">
        <v>59</v>
      </c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  <c r="Z760" s="43"/>
    </row>
    <row r="761">
      <c r="A761" s="44" t="s">
        <v>376</v>
      </c>
      <c r="B761" s="45" t="s">
        <v>389</v>
      </c>
      <c r="C761" s="44" t="s">
        <v>63</v>
      </c>
      <c r="D761" s="43"/>
      <c r="E761" s="43"/>
      <c r="F761" s="43"/>
      <c r="G761" s="43"/>
      <c r="H761" s="43"/>
      <c r="I761" s="43"/>
      <c r="J761" s="43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  <c r="Z761" s="43"/>
    </row>
    <row r="762">
      <c r="A762" s="44" t="s">
        <v>376</v>
      </c>
      <c r="B762" s="45" t="s">
        <v>390</v>
      </c>
      <c r="C762" s="44" t="s">
        <v>57</v>
      </c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  <c r="Z762" s="43"/>
    </row>
    <row r="763">
      <c r="A763" s="44" t="s">
        <v>376</v>
      </c>
      <c r="B763" s="45" t="s">
        <v>390</v>
      </c>
      <c r="C763" s="44" t="s">
        <v>59</v>
      </c>
      <c r="D763" s="43"/>
      <c r="E763" s="43"/>
      <c r="F763" s="43"/>
      <c r="G763" s="43"/>
      <c r="H763" s="43"/>
      <c r="I763" s="43"/>
      <c r="J763" s="43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  <c r="Z763" s="43"/>
    </row>
    <row r="764">
      <c r="A764" s="44" t="s">
        <v>376</v>
      </c>
      <c r="B764" s="45" t="s">
        <v>390</v>
      </c>
      <c r="C764" s="44" t="s">
        <v>63</v>
      </c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  <c r="Z764" s="43"/>
    </row>
    <row r="765">
      <c r="A765" s="44" t="s">
        <v>376</v>
      </c>
      <c r="B765" s="45" t="s">
        <v>391</v>
      </c>
      <c r="C765" s="44" t="s">
        <v>57</v>
      </c>
      <c r="D765" s="43"/>
      <c r="E765" s="43"/>
      <c r="F765" s="43"/>
      <c r="G765" s="43"/>
      <c r="H765" s="43"/>
      <c r="I765" s="43"/>
      <c r="J765" s="43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  <c r="Z765" s="43"/>
    </row>
    <row r="766">
      <c r="A766" s="44" t="s">
        <v>376</v>
      </c>
      <c r="B766" s="45" t="s">
        <v>391</v>
      </c>
      <c r="C766" s="44" t="s">
        <v>59</v>
      </c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  <c r="Z766" s="43"/>
    </row>
    <row r="767">
      <c r="A767" s="44" t="s">
        <v>376</v>
      </c>
      <c r="B767" s="45" t="s">
        <v>391</v>
      </c>
      <c r="C767" s="44" t="s">
        <v>63</v>
      </c>
      <c r="D767" s="43"/>
      <c r="E767" s="43"/>
      <c r="F767" s="43"/>
      <c r="G767" s="43"/>
      <c r="H767" s="43"/>
      <c r="I767" s="43"/>
      <c r="J767" s="43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  <c r="Z767" s="43"/>
    </row>
    <row r="768">
      <c r="A768" s="44" t="s">
        <v>376</v>
      </c>
      <c r="B768" s="45" t="s">
        <v>392</v>
      </c>
      <c r="C768" s="44" t="s">
        <v>57</v>
      </c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  <c r="Z768" s="43"/>
    </row>
    <row r="769">
      <c r="A769" s="44" t="s">
        <v>376</v>
      </c>
      <c r="B769" s="45" t="s">
        <v>392</v>
      </c>
      <c r="C769" s="44" t="s">
        <v>59</v>
      </c>
      <c r="D769" s="43"/>
      <c r="E769" s="43"/>
      <c r="F769" s="43"/>
      <c r="G769" s="43"/>
      <c r="H769" s="43"/>
      <c r="I769" s="43"/>
      <c r="J769" s="43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  <c r="Z769" s="43"/>
    </row>
    <row r="770">
      <c r="A770" s="44" t="s">
        <v>376</v>
      </c>
      <c r="B770" s="45" t="s">
        <v>392</v>
      </c>
      <c r="C770" s="44" t="s">
        <v>63</v>
      </c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  <c r="Z770" s="43"/>
    </row>
    <row r="771">
      <c r="A771" s="44" t="s">
        <v>376</v>
      </c>
      <c r="B771" s="45" t="s">
        <v>393</v>
      </c>
      <c r="C771" s="44" t="s">
        <v>57</v>
      </c>
      <c r="D771" s="43"/>
      <c r="E771" s="43"/>
      <c r="F771" s="43"/>
      <c r="G771" s="43"/>
      <c r="H771" s="43"/>
      <c r="I771" s="43"/>
      <c r="J771" s="43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  <c r="Z771" s="43"/>
    </row>
    <row r="772">
      <c r="A772" s="44" t="s">
        <v>376</v>
      </c>
      <c r="B772" s="45" t="s">
        <v>393</v>
      </c>
      <c r="C772" s="44" t="s">
        <v>59</v>
      </c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  <c r="Z772" s="43"/>
    </row>
    <row r="773">
      <c r="A773" s="44" t="s">
        <v>376</v>
      </c>
      <c r="B773" s="45" t="s">
        <v>393</v>
      </c>
      <c r="C773" s="44" t="s">
        <v>63</v>
      </c>
      <c r="D773" s="43"/>
      <c r="E773" s="43"/>
      <c r="F773" s="43"/>
      <c r="G773" s="43"/>
      <c r="H773" s="43"/>
      <c r="I773" s="43"/>
      <c r="J773" s="43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  <c r="Z773" s="43"/>
    </row>
    <row r="774">
      <c r="A774" s="44" t="s">
        <v>376</v>
      </c>
      <c r="B774" s="45" t="s">
        <v>394</v>
      </c>
      <c r="C774" s="44" t="s">
        <v>57</v>
      </c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  <c r="Z774" s="43"/>
    </row>
    <row r="775">
      <c r="A775" s="44" t="s">
        <v>376</v>
      </c>
      <c r="B775" s="45" t="s">
        <v>394</v>
      </c>
      <c r="C775" s="44" t="s">
        <v>59</v>
      </c>
      <c r="D775" s="43"/>
      <c r="E775" s="43"/>
      <c r="F775" s="43"/>
      <c r="G775" s="43"/>
      <c r="H775" s="43"/>
      <c r="I775" s="43"/>
      <c r="J775" s="43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  <c r="Z775" s="43"/>
    </row>
    <row r="776">
      <c r="A776" s="44" t="s">
        <v>376</v>
      </c>
      <c r="B776" s="45" t="s">
        <v>394</v>
      </c>
      <c r="C776" s="44" t="s">
        <v>63</v>
      </c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</row>
    <row r="777">
      <c r="A777" s="44" t="s">
        <v>376</v>
      </c>
      <c r="B777" s="45" t="s">
        <v>395</v>
      </c>
      <c r="C777" s="44" t="s">
        <v>57</v>
      </c>
      <c r="D777" s="43"/>
      <c r="E777" s="43"/>
      <c r="F777" s="43"/>
      <c r="G777" s="43"/>
      <c r="H777" s="43"/>
      <c r="I777" s="43"/>
      <c r="J777" s="43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</row>
    <row r="778">
      <c r="A778" s="44" t="s">
        <v>376</v>
      </c>
      <c r="B778" s="45" t="s">
        <v>395</v>
      </c>
      <c r="C778" s="44" t="s">
        <v>59</v>
      </c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  <c r="Z778" s="43"/>
    </row>
    <row r="779">
      <c r="A779" s="44" t="s">
        <v>376</v>
      </c>
      <c r="B779" s="45" t="s">
        <v>395</v>
      </c>
      <c r="C779" s="44" t="s">
        <v>63</v>
      </c>
      <c r="D779" s="43"/>
      <c r="E779" s="43"/>
      <c r="F779" s="43"/>
      <c r="G779" s="43"/>
      <c r="H779" s="43"/>
      <c r="I779" s="43"/>
      <c r="J779" s="43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  <c r="Z779" s="43"/>
    </row>
    <row r="780">
      <c r="A780" s="44" t="s">
        <v>376</v>
      </c>
      <c r="B780" s="45" t="s">
        <v>396</v>
      </c>
      <c r="C780" s="44" t="s">
        <v>57</v>
      </c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  <c r="Z780" s="43"/>
    </row>
    <row r="781">
      <c r="A781" s="44" t="s">
        <v>376</v>
      </c>
      <c r="B781" s="45" t="s">
        <v>396</v>
      </c>
      <c r="C781" s="44" t="s">
        <v>59</v>
      </c>
      <c r="D781" s="43"/>
      <c r="E781" s="43"/>
      <c r="F781" s="43"/>
      <c r="G781" s="43"/>
      <c r="H781" s="43"/>
      <c r="I781" s="43"/>
      <c r="J781" s="43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  <c r="Z781" s="43"/>
    </row>
    <row r="782">
      <c r="A782" s="44" t="s">
        <v>376</v>
      </c>
      <c r="B782" s="45" t="s">
        <v>396</v>
      </c>
      <c r="C782" s="44" t="s">
        <v>63</v>
      </c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  <c r="Z782" s="43"/>
    </row>
    <row r="783">
      <c r="A783" s="44" t="s">
        <v>376</v>
      </c>
      <c r="B783" s="45" t="s">
        <v>397</v>
      </c>
      <c r="C783" s="44" t="s">
        <v>57</v>
      </c>
      <c r="D783" s="43"/>
      <c r="E783" s="43"/>
      <c r="F783" s="43"/>
      <c r="G783" s="43"/>
      <c r="H783" s="43"/>
      <c r="I783" s="43"/>
      <c r="J783" s="43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  <c r="Z783" s="43"/>
    </row>
    <row r="784">
      <c r="A784" s="44" t="s">
        <v>376</v>
      </c>
      <c r="B784" s="45" t="s">
        <v>397</v>
      </c>
      <c r="C784" s="44" t="s">
        <v>59</v>
      </c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  <c r="Z784" s="43"/>
    </row>
    <row r="785">
      <c r="A785" s="44" t="s">
        <v>376</v>
      </c>
      <c r="B785" s="45" t="s">
        <v>397</v>
      </c>
      <c r="C785" s="44" t="s">
        <v>63</v>
      </c>
      <c r="D785" s="43"/>
      <c r="E785" s="43"/>
      <c r="F785" s="43"/>
      <c r="G785" s="43"/>
      <c r="H785" s="43"/>
      <c r="I785" s="43"/>
      <c r="J785" s="43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  <c r="Z785" s="43"/>
    </row>
    <row r="786">
      <c r="A786" s="44" t="s">
        <v>376</v>
      </c>
      <c r="B786" s="45" t="s">
        <v>398</v>
      </c>
      <c r="C786" s="44" t="s">
        <v>57</v>
      </c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  <c r="Z786" s="43"/>
    </row>
    <row r="787">
      <c r="A787" s="44" t="s">
        <v>376</v>
      </c>
      <c r="B787" s="45" t="s">
        <v>398</v>
      </c>
      <c r="C787" s="44" t="s">
        <v>59</v>
      </c>
      <c r="D787" s="43"/>
      <c r="E787" s="43"/>
      <c r="F787" s="43"/>
      <c r="G787" s="43"/>
      <c r="H787" s="43"/>
      <c r="I787" s="43"/>
      <c r="J787" s="43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  <c r="Z787" s="43"/>
    </row>
    <row r="788">
      <c r="A788" s="44" t="s">
        <v>376</v>
      </c>
      <c r="B788" s="45" t="s">
        <v>398</v>
      </c>
      <c r="C788" s="44" t="s">
        <v>63</v>
      </c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  <c r="Z788" s="43"/>
    </row>
    <row r="789">
      <c r="A789" s="44" t="s">
        <v>376</v>
      </c>
      <c r="B789" s="45" t="s">
        <v>399</v>
      </c>
      <c r="C789" s="44" t="s">
        <v>57</v>
      </c>
      <c r="D789" s="43"/>
      <c r="E789" s="43"/>
      <c r="F789" s="43"/>
      <c r="G789" s="43"/>
      <c r="H789" s="43"/>
      <c r="I789" s="43"/>
      <c r="J789" s="43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  <c r="Z789" s="43"/>
    </row>
    <row r="790">
      <c r="A790" s="44" t="s">
        <v>376</v>
      </c>
      <c r="B790" s="45" t="s">
        <v>399</v>
      </c>
      <c r="C790" s="44" t="s">
        <v>59</v>
      </c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  <c r="Z790" s="43"/>
    </row>
    <row r="791">
      <c r="A791" s="44" t="s">
        <v>376</v>
      </c>
      <c r="B791" s="45" t="s">
        <v>399</v>
      </c>
      <c r="C791" s="44" t="s">
        <v>63</v>
      </c>
      <c r="D791" s="43"/>
      <c r="E791" s="43"/>
      <c r="F791" s="43"/>
      <c r="G791" s="43"/>
      <c r="H791" s="43"/>
      <c r="I791" s="43"/>
      <c r="J791" s="43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  <c r="Z791" s="43"/>
    </row>
    <row r="792">
      <c r="A792" s="44" t="s">
        <v>376</v>
      </c>
      <c r="B792" s="45" t="s">
        <v>400</v>
      </c>
      <c r="C792" s="44" t="s">
        <v>57</v>
      </c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  <c r="Z792" s="43"/>
    </row>
    <row r="793">
      <c r="A793" s="44" t="s">
        <v>376</v>
      </c>
      <c r="B793" s="45" t="s">
        <v>400</v>
      </c>
      <c r="C793" s="44" t="s">
        <v>59</v>
      </c>
      <c r="D793" s="43"/>
      <c r="E793" s="43"/>
      <c r="F793" s="43"/>
      <c r="G793" s="43"/>
      <c r="H793" s="43"/>
      <c r="I793" s="43"/>
      <c r="J793" s="43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  <c r="Z793" s="43"/>
    </row>
    <row r="794">
      <c r="A794" s="44" t="s">
        <v>376</v>
      </c>
      <c r="B794" s="45" t="s">
        <v>400</v>
      </c>
      <c r="C794" s="44" t="s">
        <v>63</v>
      </c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  <c r="Z794" s="43"/>
    </row>
    <row r="795">
      <c r="A795" s="43"/>
      <c r="B795" s="70"/>
      <c r="C795" s="43"/>
      <c r="D795" s="43"/>
      <c r="E795" s="43"/>
      <c r="F795" s="43"/>
      <c r="G795" s="43"/>
      <c r="H795" s="43"/>
      <c r="I795" s="43"/>
      <c r="J795" s="43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  <c r="Z795" s="43"/>
    </row>
    <row r="796">
      <c r="A796" s="43"/>
      <c r="B796" s="70"/>
      <c r="C796" s="43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  <c r="Z796" s="43"/>
    </row>
    <row r="797">
      <c r="A797" s="43"/>
      <c r="B797" s="70"/>
      <c r="C797" s="43"/>
      <c r="D797" s="43"/>
      <c r="E797" s="43"/>
      <c r="F797" s="43"/>
      <c r="G797" s="43"/>
      <c r="H797" s="43"/>
      <c r="I797" s="43"/>
      <c r="J797" s="43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  <c r="Z797" s="43"/>
    </row>
    <row r="798">
      <c r="A798" s="43"/>
      <c r="B798" s="70"/>
      <c r="C798" s="43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</row>
    <row r="799">
      <c r="A799" s="43"/>
      <c r="B799" s="70"/>
      <c r="C799" s="43"/>
      <c r="D799" s="43"/>
      <c r="E799" s="43"/>
      <c r="F799" s="43"/>
      <c r="G799" s="43"/>
      <c r="H799" s="43"/>
      <c r="I799" s="43"/>
      <c r="J799" s="43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</row>
    <row r="800">
      <c r="A800" s="43"/>
      <c r="B800" s="70"/>
      <c r="C800" s="43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  <c r="Z800" s="43"/>
    </row>
    <row r="801">
      <c r="A801" s="43"/>
      <c r="B801" s="70"/>
      <c r="C801" s="43"/>
      <c r="D801" s="43"/>
      <c r="E801" s="43"/>
      <c r="F801" s="43"/>
      <c r="G801" s="43"/>
      <c r="H801" s="43"/>
      <c r="I801" s="43"/>
      <c r="J801" s="43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  <c r="Z801" s="43"/>
    </row>
    <row r="802">
      <c r="A802" s="43"/>
      <c r="B802" s="70"/>
      <c r="C802" s="43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  <c r="Z802" s="43"/>
    </row>
    <row r="803">
      <c r="A803" s="43"/>
      <c r="B803" s="70"/>
      <c r="C803" s="43"/>
      <c r="D803" s="43"/>
      <c r="E803" s="43"/>
      <c r="F803" s="43"/>
      <c r="G803" s="43"/>
      <c r="H803" s="43"/>
      <c r="I803" s="43"/>
      <c r="J803" s="43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  <c r="Z803" s="43"/>
    </row>
    <row r="804">
      <c r="A804" s="43"/>
      <c r="B804" s="70"/>
      <c r="C804" s="43"/>
      <c r="D804" s="43"/>
      <c r="E804" s="43"/>
      <c r="F804" s="43"/>
      <c r="G804" s="43"/>
      <c r="H804" s="43"/>
      <c r="I804" s="43"/>
      <c r="J804" s="43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  <c r="Z804" s="43"/>
    </row>
    <row r="805">
      <c r="A805" s="43"/>
      <c r="B805" s="70"/>
      <c r="C805" s="43"/>
      <c r="D805" s="43"/>
      <c r="E805" s="43"/>
      <c r="F805" s="43"/>
      <c r="G805" s="43"/>
      <c r="H805" s="43"/>
      <c r="I805" s="43"/>
      <c r="J805" s="43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  <c r="Z805" s="43"/>
    </row>
    <row r="806">
      <c r="A806" s="43"/>
      <c r="B806" s="70"/>
      <c r="C806" s="43"/>
      <c r="D806" s="43"/>
      <c r="E806" s="43"/>
      <c r="F806" s="43"/>
      <c r="G806" s="43"/>
      <c r="H806" s="43"/>
      <c r="I806" s="43"/>
      <c r="J806" s="43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  <c r="Z806" s="43"/>
    </row>
    <row r="807">
      <c r="A807" s="43"/>
      <c r="B807" s="70"/>
      <c r="C807" s="43"/>
      <c r="D807" s="43"/>
      <c r="E807" s="43"/>
      <c r="F807" s="43"/>
      <c r="G807" s="43"/>
      <c r="H807" s="43"/>
      <c r="I807" s="43"/>
      <c r="J807" s="43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  <c r="Z807" s="43"/>
    </row>
    <row r="808">
      <c r="A808" s="43"/>
      <c r="B808" s="70"/>
      <c r="C808" s="43"/>
      <c r="D808" s="43"/>
      <c r="E808" s="43"/>
      <c r="F808" s="43"/>
      <c r="G808" s="43"/>
      <c r="H808" s="43"/>
      <c r="I808" s="43"/>
      <c r="J808" s="43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  <c r="Z808" s="43"/>
    </row>
    <row r="809">
      <c r="A809" s="43"/>
      <c r="B809" s="70"/>
      <c r="C809" s="43"/>
      <c r="D809" s="43"/>
      <c r="E809" s="43"/>
      <c r="F809" s="43"/>
      <c r="G809" s="43"/>
      <c r="H809" s="43"/>
      <c r="I809" s="43"/>
      <c r="J809" s="43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  <c r="Z809" s="43"/>
    </row>
    <row r="810">
      <c r="A810" s="43"/>
      <c r="B810" s="70"/>
      <c r="C810" s="43"/>
      <c r="D810" s="43"/>
      <c r="E810" s="43"/>
      <c r="F810" s="43"/>
      <c r="G810" s="43"/>
      <c r="H810" s="43"/>
      <c r="I810" s="43"/>
      <c r="J810" s="43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  <c r="Z810" s="43"/>
    </row>
    <row r="811">
      <c r="A811" s="43"/>
      <c r="B811" s="70"/>
      <c r="C811" s="43"/>
      <c r="D811" s="43"/>
      <c r="E811" s="43"/>
      <c r="F811" s="43"/>
      <c r="G811" s="43"/>
      <c r="H811" s="43"/>
      <c r="I811" s="43"/>
      <c r="J811" s="43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  <c r="Z811" s="43"/>
    </row>
    <row r="812">
      <c r="A812" s="43"/>
      <c r="B812" s="70"/>
      <c r="C812" s="43"/>
      <c r="D812" s="43"/>
      <c r="E812" s="43"/>
      <c r="F812" s="43"/>
      <c r="G812" s="43"/>
      <c r="H812" s="43"/>
      <c r="I812" s="43"/>
      <c r="J812" s="43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  <c r="Z812" s="43"/>
    </row>
    <row r="813">
      <c r="A813" s="43"/>
      <c r="B813" s="70"/>
      <c r="C813" s="43"/>
      <c r="D813" s="43"/>
      <c r="E813" s="43"/>
      <c r="F813" s="43"/>
      <c r="G813" s="43"/>
      <c r="H813" s="43"/>
      <c r="I813" s="43"/>
      <c r="J813" s="43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  <c r="Z813" s="43"/>
    </row>
    <row r="814">
      <c r="A814" s="43"/>
      <c r="B814" s="70"/>
      <c r="C814" s="43"/>
      <c r="D814" s="43"/>
      <c r="E814" s="43"/>
      <c r="F814" s="43"/>
      <c r="G814" s="43"/>
      <c r="H814" s="43"/>
      <c r="I814" s="43"/>
      <c r="J814" s="43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  <c r="Z814" s="43"/>
    </row>
    <row r="815">
      <c r="A815" s="43"/>
      <c r="B815" s="70"/>
      <c r="C815" s="43"/>
      <c r="D815" s="43"/>
      <c r="E815" s="43"/>
      <c r="F815" s="43"/>
      <c r="G815" s="43"/>
      <c r="H815" s="43"/>
      <c r="I815" s="43"/>
      <c r="J815" s="43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  <c r="Z815" s="43"/>
    </row>
    <row r="816">
      <c r="A816" s="43"/>
      <c r="B816" s="70"/>
      <c r="C816" s="43"/>
      <c r="D816" s="43"/>
      <c r="E816" s="43"/>
      <c r="F816" s="43"/>
      <c r="G816" s="43"/>
      <c r="H816" s="43"/>
      <c r="I816" s="43"/>
      <c r="J816" s="43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  <c r="Z816" s="43"/>
    </row>
    <row r="817">
      <c r="A817" s="43"/>
      <c r="B817" s="70"/>
      <c r="C817" s="43"/>
      <c r="D817" s="43"/>
      <c r="E817" s="43"/>
      <c r="F817" s="43"/>
      <c r="G817" s="43"/>
      <c r="H817" s="43"/>
      <c r="I817" s="43"/>
      <c r="J817" s="43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  <c r="Z817" s="43"/>
    </row>
    <row r="818">
      <c r="A818" s="43"/>
      <c r="B818" s="70"/>
      <c r="C818" s="43"/>
      <c r="D818" s="43"/>
      <c r="E818" s="43"/>
      <c r="F818" s="43"/>
      <c r="G818" s="43"/>
      <c r="H818" s="43"/>
      <c r="I818" s="43"/>
      <c r="J818" s="43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  <c r="Z818" s="43"/>
    </row>
    <row r="819">
      <c r="A819" s="43"/>
      <c r="B819" s="70"/>
      <c r="C819" s="43"/>
      <c r="D819" s="43"/>
      <c r="E819" s="43"/>
      <c r="F819" s="43"/>
      <c r="G819" s="43"/>
      <c r="H819" s="43"/>
      <c r="I819" s="43"/>
      <c r="J819" s="43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  <c r="Z819" s="43"/>
    </row>
    <row r="820">
      <c r="A820" s="43"/>
      <c r="B820" s="70"/>
      <c r="C820" s="43"/>
      <c r="D820" s="43"/>
      <c r="E820" s="43"/>
      <c r="F820" s="43"/>
      <c r="G820" s="43"/>
      <c r="H820" s="43"/>
      <c r="I820" s="43"/>
      <c r="J820" s="43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</row>
    <row r="821">
      <c r="A821" s="43"/>
      <c r="B821" s="70"/>
      <c r="C821" s="43"/>
      <c r="D821" s="43"/>
      <c r="E821" s="43"/>
      <c r="F821" s="43"/>
      <c r="G821" s="43"/>
      <c r="H821" s="43"/>
      <c r="I821" s="43"/>
      <c r="J821" s="43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</row>
    <row r="822">
      <c r="A822" s="43"/>
      <c r="B822" s="70"/>
      <c r="C822" s="43"/>
      <c r="D822" s="43"/>
      <c r="E822" s="43"/>
      <c r="F822" s="43"/>
      <c r="G822" s="43"/>
      <c r="H822" s="43"/>
      <c r="I822" s="43"/>
      <c r="J822" s="43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  <c r="Z822" s="43"/>
    </row>
    <row r="823">
      <c r="A823" s="43"/>
      <c r="B823" s="70"/>
      <c r="C823" s="43"/>
      <c r="D823" s="43"/>
      <c r="E823" s="43"/>
      <c r="F823" s="43"/>
      <c r="G823" s="43"/>
      <c r="H823" s="43"/>
      <c r="I823" s="43"/>
      <c r="J823" s="43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  <c r="Z823" s="43"/>
    </row>
    <row r="824">
      <c r="A824" s="43"/>
      <c r="B824" s="70"/>
      <c r="C824" s="43"/>
      <c r="D824" s="43"/>
      <c r="E824" s="43"/>
      <c r="F824" s="43"/>
      <c r="G824" s="43"/>
      <c r="H824" s="43"/>
      <c r="I824" s="43"/>
      <c r="J824" s="43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  <c r="Z824" s="43"/>
    </row>
    <row r="825">
      <c r="A825" s="43"/>
      <c r="B825" s="70"/>
      <c r="C825" s="43"/>
      <c r="D825" s="43"/>
      <c r="E825" s="43"/>
      <c r="F825" s="43"/>
      <c r="G825" s="43"/>
      <c r="H825" s="43"/>
      <c r="I825" s="43"/>
      <c r="J825" s="43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  <c r="Z825" s="43"/>
    </row>
    <row r="826">
      <c r="A826" s="43"/>
      <c r="B826" s="70"/>
      <c r="C826" s="43"/>
      <c r="D826" s="43"/>
      <c r="E826" s="43"/>
      <c r="F826" s="43"/>
      <c r="G826" s="43"/>
      <c r="H826" s="43"/>
      <c r="I826" s="43"/>
      <c r="J826" s="43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  <c r="Z826" s="43"/>
    </row>
    <row r="827">
      <c r="A827" s="43"/>
      <c r="B827" s="70"/>
      <c r="C827" s="43"/>
      <c r="D827" s="43"/>
      <c r="E827" s="43"/>
      <c r="F827" s="43"/>
      <c r="G827" s="43"/>
      <c r="H827" s="43"/>
      <c r="I827" s="43"/>
      <c r="J827" s="4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</row>
    <row r="828">
      <c r="A828" s="43"/>
      <c r="B828" s="70"/>
      <c r="C828" s="43"/>
      <c r="D828" s="43"/>
      <c r="E828" s="43"/>
      <c r="F828" s="43"/>
      <c r="G828" s="43"/>
      <c r="H828" s="43"/>
      <c r="I828" s="43"/>
      <c r="J828" s="4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</row>
    <row r="829">
      <c r="A829" s="43"/>
      <c r="B829" s="70"/>
      <c r="C829" s="43"/>
      <c r="D829" s="43"/>
      <c r="E829" s="43"/>
      <c r="F829" s="43"/>
      <c r="G829" s="43"/>
      <c r="H829" s="43"/>
      <c r="I829" s="43"/>
      <c r="J829" s="43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  <c r="Z829" s="43"/>
    </row>
    <row r="830">
      <c r="A830" s="43"/>
      <c r="B830" s="70"/>
      <c r="C830" s="43"/>
      <c r="D830" s="43"/>
      <c r="E830" s="43"/>
      <c r="F830" s="43"/>
      <c r="G830" s="43"/>
      <c r="H830" s="43"/>
      <c r="I830" s="43"/>
      <c r="J830" s="43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  <c r="Z830" s="43"/>
    </row>
    <row r="831">
      <c r="A831" s="43"/>
      <c r="B831" s="70"/>
      <c r="C831" s="43"/>
      <c r="D831" s="43"/>
      <c r="E831" s="43"/>
      <c r="F831" s="43"/>
      <c r="G831" s="43"/>
      <c r="H831" s="43"/>
      <c r="I831" s="43"/>
      <c r="J831" s="43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  <c r="Z831" s="43"/>
    </row>
    <row r="832">
      <c r="A832" s="43"/>
      <c r="B832" s="70"/>
      <c r="C832" s="43"/>
      <c r="D832" s="43"/>
      <c r="E832" s="43"/>
      <c r="F832" s="43"/>
      <c r="G832" s="43"/>
      <c r="H832" s="43"/>
      <c r="I832" s="43"/>
      <c r="J832" s="43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  <c r="Z832" s="43"/>
    </row>
    <row r="833">
      <c r="A833" s="43"/>
      <c r="B833" s="70"/>
      <c r="C833" s="43"/>
      <c r="D833" s="43"/>
      <c r="E833" s="43"/>
      <c r="F833" s="43"/>
      <c r="G833" s="43"/>
      <c r="H833" s="43"/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</row>
    <row r="834">
      <c r="A834" s="43"/>
      <c r="B834" s="70"/>
      <c r="C834" s="43"/>
      <c r="D834" s="43"/>
      <c r="E834" s="43"/>
      <c r="F834" s="43"/>
      <c r="G834" s="43"/>
      <c r="H834" s="43"/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</row>
    <row r="835">
      <c r="A835" s="43"/>
      <c r="B835" s="70"/>
      <c r="C835" s="43"/>
      <c r="D835" s="43"/>
      <c r="E835" s="43"/>
      <c r="F835" s="43"/>
      <c r="G835" s="43"/>
      <c r="H835" s="43"/>
      <c r="I835" s="43"/>
      <c r="J835" s="43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  <c r="Z835" s="43"/>
    </row>
    <row r="836">
      <c r="A836" s="43"/>
      <c r="B836" s="70"/>
      <c r="C836" s="43"/>
      <c r="D836" s="43"/>
      <c r="E836" s="43"/>
      <c r="F836" s="43"/>
      <c r="G836" s="43"/>
      <c r="H836" s="43"/>
      <c r="I836" s="43"/>
      <c r="J836" s="43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  <c r="Z836" s="43"/>
    </row>
    <row r="837">
      <c r="A837" s="43"/>
      <c r="B837" s="70"/>
      <c r="C837" s="43"/>
      <c r="D837" s="43"/>
      <c r="E837" s="43"/>
      <c r="F837" s="43"/>
      <c r="G837" s="43"/>
      <c r="H837" s="43"/>
      <c r="I837" s="43"/>
      <c r="J837" s="43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  <c r="Z837" s="43"/>
    </row>
    <row r="838">
      <c r="A838" s="43"/>
      <c r="B838" s="70"/>
      <c r="C838" s="43"/>
      <c r="D838" s="43"/>
      <c r="E838" s="43"/>
      <c r="F838" s="43"/>
      <c r="G838" s="43"/>
      <c r="H838" s="43"/>
      <c r="I838" s="43"/>
      <c r="J838" s="43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  <c r="Z838" s="43"/>
    </row>
    <row r="839">
      <c r="A839" s="43"/>
      <c r="B839" s="70"/>
      <c r="C839" s="43"/>
      <c r="D839" s="43"/>
      <c r="E839" s="43"/>
      <c r="F839" s="43"/>
      <c r="G839" s="43"/>
      <c r="H839" s="43"/>
      <c r="I839" s="43"/>
      <c r="J839" s="43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  <c r="Z839" s="43"/>
    </row>
    <row r="840">
      <c r="A840" s="43"/>
      <c r="B840" s="70"/>
      <c r="C840" s="43"/>
      <c r="D840" s="43"/>
      <c r="E840" s="43"/>
      <c r="F840" s="43"/>
      <c r="G840" s="43"/>
      <c r="H840" s="43"/>
      <c r="I840" s="43"/>
      <c r="J840" s="4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</row>
    <row r="841">
      <c r="A841" s="43"/>
      <c r="B841" s="70"/>
      <c r="C841" s="43"/>
      <c r="D841" s="43"/>
      <c r="E841" s="43"/>
      <c r="F841" s="43"/>
      <c r="G841" s="43"/>
      <c r="H841" s="43"/>
      <c r="I841" s="43"/>
      <c r="J841" s="4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</row>
    <row r="842">
      <c r="A842" s="43"/>
      <c r="B842" s="70"/>
      <c r="C842" s="43"/>
      <c r="D842" s="43"/>
      <c r="E842" s="43"/>
      <c r="F842" s="43"/>
      <c r="G842" s="43"/>
      <c r="H842" s="43"/>
      <c r="I842" s="43"/>
      <c r="J842" s="43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</row>
    <row r="843">
      <c r="A843" s="43"/>
      <c r="B843" s="70"/>
      <c r="C843" s="43"/>
      <c r="D843" s="43"/>
      <c r="E843" s="43"/>
      <c r="F843" s="43"/>
      <c r="G843" s="43"/>
      <c r="H843" s="43"/>
      <c r="I843" s="43"/>
      <c r="J843" s="43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</row>
    <row r="844">
      <c r="A844" s="43"/>
      <c r="B844" s="70"/>
      <c r="C844" s="43"/>
      <c r="D844" s="43"/>
      <c r="E844" s="43"/>
      <c r="F844" s="43"/>
      <c r="G844" s="43"/>
      <c r="H844" s="43"/>
      <c r="I844" s="43"/>
      <c r="J844" s="43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  <c r="Z844" s="43"/>
    </row>
    <row r="845">
      <c r="A845" s="43"/>
      <c r="B845" s="70"/>
      <c r="C845" s="43"/>
      <c r="D845" s="43"/>
      <c r="E845" s="43"/>
      <c r="F845" s="43"/>
      <c r="G845" s="43"/>
      <c r="H845" s="43"/>
      <c r="I845" s="43"/>
      <c r="J845" s="43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  <c r="Z845" s="43"/>
    </row>
    <row r="846">
      <c r="A846" s="43"/>
      <c r="B846" s="70"/>
      <c r="C846" s="43"/>
      <c r="D846" s="43"/>
      <c r="E846" s="43"/>
      <c r="F846" s="43"/>
      <c r="G846" s="43"/>
      <c r="H846" s="43"/>
      <c r="I846" s="43"/>
      <c r="J846" s="43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  <c r="Z846" s="43"/>
    </row>
    <row r="847">
      <c r="A847" s="43"/>
      <c r="B847" s="70"/>
      <c r="C847" s="43"/>
      <c r="D847" s="43"/>
      <c r="E847" s="43"/>
      <c r="F847" s="43"/>
      <c r="G847" s="43"/>
      <c r="H847" s="43"/>
      <c r="I847" s="43"/>
      <c r="J847" s="43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  <c r="Z847" s="43"/>
    </row>
    <row r="848">
      <c r="A848" s="43"/>
      <c r="B848" s="70"/>
      <c r="C848" s="43"/>
      <c r="D848" s="43"/>
      <c r="E848" s="43"/>
      <c r="F848" s="43"/>
      <c r="G848" s="43"/>
      <c r="H848" s="43"/>
      <c r="I848" s="43"/>
      <c r="J848" s="43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  <c r="Z848" s="43"/>
    </row>
    <row r="849">
      <c r="A849" s="43"/>
      <c r="B849" s="70"/>
      <c r="C849" s="43"/>
      <c r="D849" s="43"/>
      <c r="E849" s="43"/>
      <c r="F849" s="43"/>
      <c r="G849" s="43"/>
      <c r="H849" s="43"/>
      <c r="I849" s="43"/>
      <c r="J849" s="43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  <c r="Z849" s="43"/>
    </row>
    <row r="850">
      <c r="A850" s="43"/>
      <c r="B850" s="70"/>
      <c r="C850" s="43"/>
      <c r="D850" s="43"/>
      <c r="E850" s="43"/>
      <c r="F850" s="43"/>
      <c r="G850" s="43"/>
      <c r="H850" s="43"/>
      <c r="I850" s="43"/>
      <c r="J850" s="43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  <c r="Z850" s="43"/>
    </row>
    <row r="851">
      <c r="A851" s="43"/>
      <c r="B851" s="70"/>
      <c r="C851" s="43"/>
      <c r="D851" s="43"/>
      <c r="E851" s="43"/>
      <c r="F851" s="43"/>
      <c r="G851" s="43"/>
      <c r="H851" s="43"/>
      <c r="I851" s="43"/>
      <c r="J851" s="43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  <c r="Z851" s="43"/>
    </row>
    <row r="852">
      <c r="A852" s="43"/>
      <c r="B852" s="70"/>
      <c r="C852" s="43"/>
      <c r="D852" s="43"/>
      <c r="E852" s="43"/>
      <c r="F852" s="43"/>
      <c r="G852" s="43"/>
      <c r="H852" s="43"/>
      <c r="I852" s="43"/>
      <c r="J852" s="43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  <c r="Z852" s="43"/>
    </row>
    <row r="853">
      <c r="A853" s="43"/>
      <c r="B853" s="70"/>
      <c r="C853" s="43"/>
      <c r="D853" s="43"/>
      <c r="E853" s="43"/>
      <c r="F853" s="43"/>
      <c r="G853" s="43"/>
      <c r="H853" s="43"/>
      <c r="I853" s="43"/>
      <c r="J853" s="43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  <c r="Z853" s="43"/>
    </row>
    <row r="854">
      <c r="A854" s="43"/>
      <c r="B854" s="70"/>
      <c r="C854" s="43"/>
      <c r="D854" s="43"/>
      <c r="E854" s="43"/>
      <c r="F854" s="43"/>
      <c r="G854" s="43"/>
      <c r="H854" s="43"/>
      <c r="I854" s="43"/>
      <c r="J854" s="43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  <c r="Z854" s="43"/>
    </row>
    <row r="855">
      <c r="A855" s="43"/>
      <c r="B855" s="70"/>
      <c r="C855" s="43"/>
      <c r="D855" s="43"/>
      <c r="E855" s="43"/>
      <c r="F855" s="43"/>
      <c r="G855" s="43"/>
      <c r="H855" s="43"/>
      <c r="I855" s="43"/>
      <c r="J855" s="43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  <c r="Z855" s="43"/>
    </row>
    <row r="856">
      <c r="A856" s="43"/>
      <c r="B856" s="70"/>
      <c r="C856" s="43"/>
      <c r="D856" s="43"/>
      <c r="E856" s="43"/>
      <c r="F856" s="43"/>
      <c r="G856" s="43"/>
      <c r="H856" s="43"/>
      <c r="I856" s="43"/>
      <c r="J856" s="43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  <c r="Z856" s="43"/>
    </row>
    <row r="857">
      <c r="A857" s="43"/>
      <c r="B857" s="70"/>
      <c r="C857" s="43"/>
      <c r="D857" s="43"/>
      <c r="E857" s="43"/>
      <c r="F857" s="43"/>
      <c r="G857" s="43"/>
      <c r="H857" s="43"/>
      <c r="I857" s="43"/>
      <c r="J857" s="43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  <c r="Z857" s="43"/>
    </row>
    <row r="858">
      <c r="A858" s="43"/>
      <c r="B858" s="70"/>
      <c r="C858" s="43"/>
      <c r="D858" s="43"/>
      <c r="E858" s="43"/>
      <c r="F858" s="43"/>
      <c r="G858" s="43"/>
      <c r="H858" s="43"/>
      <c r="I858" s="43"/>
      <c r="J858" s="43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  <c r="Z858" s="43"/>
    </row>
    <row r="859">
      <c r="A859" s="43"/>
      <c r="B859" s="70"/>
      <c r="C859" s="43"/>
      <c r="D859" s="43"/>
      <c r="E859" s="43"/>
      <c r="F859" s="43"/>
      <c r="G859" s="43"/>
      <c r="H859" s="43"/>
      <c r="I859" s="43"/>
      <c r="J859" s="43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  <c r="Z859" s="43"/>
    </row>
    <row r="860">
      <c r="A860" s="43"/>
      <c r="B860" s="70"/>
      <c r="C860" s="43"/>
      <c r="D860" s="43"/>
      <c r="E860" s="43"/>
      <c r="F860" s="43"/>
      <c r="G860" s="43"/>
      <c r="H860" s="43"/>
      <c r="I860" s="43"/>
      <c r="J860" s="43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  <c r="Z860" s="43"/>
    </row>
    <row r="861">
      <c r="A861" s="43"/>
      <c r="B861" s="70"/>
      <c r="C861" s="43"/>
      <c r="D861" s="43"/>
      <c r="E861" s="43"/>
      <c r="F861" s="43"/>
      <c r="G861" s="43"/>
      <c r="H861" s="43"/>
      <c r="I861" s="43"/>
      <c r="J861" s="43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  <c r="Z861" s="43"/>
    </row>
    <row r="862">
      <c r="A862" s="43"/>
      <c r="B862" s="70"/>
      <c r="C862" s="43"/>
      <c r="D862" s="43"/>
      <c r="E862" s="43"/>
      <c r="F862" s="43"/>
      <c r="G862" s="43"/>
      <c r="H862" s="43"/>
      <c r="I862" s="43"/>
      <c r="J862" s="43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  <c r="Z862" s="43"/>
    </row>
    <row r="863">
      <c r="A863" s="43"/>
      <c r="B863" s="70"/>
      <c r="C863" s="43"/>
      <c r="D863" s="43"/>
      <c r="E863" s="43"/>
      <c r="F863" s="43"/>
      <c r="G863" s="43"/>
      <c r="H863" s="43"/>
      <c r="I863" s="43"/>
      <c r="J863" s="43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  <c r="Z863" s="43"/>
    </row>
    <row r="864">
      <c r="A864" s="43"/>
      <c r="B864" s="70"/>
      <c r="C864" s="43"/>
      <c r="D864" s="43"/>
      <c r="E864" s="43"/>
      <c r="F864" s="43"/>
      <c r="G864" s="43"/>
      <c r="H864" s="43"/>
      <c r="I864" s="43"/>
      <c r="J864" s="43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  <c r="Z864" s="43"/>
    </row>
    <row r="865">
      <c r="A865" s="43"/>
      <c r="B865" s="70"/>
      <c r="C865" s="43"/>
      <c r="D865" s="43"/>
      <c r="E865" s="43"/>
      <c r="F865" s="43"/>
      <c r="G865" s="43"/>
      <c r="H865" s="43"/>
      <c r="I865" s="43"/>
      <c r="J865" s="43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  <c r="Z865" s="43"/>
    </row>
    <row r="866">
      <c r="A866" s="43"/>
      <c r="B866" s="70"/>
      <c r="C866" s="43"/>
      <c r="D866" s="43"/>
      <c r="E866" s="43"/>
      <c r="F866" s="43"/>
      <c r="G866" s="43"/>
      <c r="H866" s="43"/>
      <c r="I866" s="43"/>
      <c r="J866" s="43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  <c r="Z866" s="43"/>
    </row>
    <row r="867">
      <c r="A867" s="43"/>
      <c r="B867" s="70"/>
      <c r="C867" s="43"/>
      <c r="D867" s="43"/>
      <c r="E867" s="43"/>
      <c r="F867" s="43"/>
      <c r="G867" s="43"/>
      <c r="H867" s="43"/>
      <c r="I867" s="43"/>
      <c r="J867" s="43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  <c r="Z867" s="43"/>
    </row>
    <row r="868">
      <c r="A868" s="43"/>
      <c r="B868" s="70"/>
      <c r="C868" s="43"/>
      <c r="D868" s="43"/>
      <c r="E868" s="43"/>
      <c r="F868" s="43"/>
      <c r="G868" s="43"/>
      <c r="H868" s="43"/>
      <c r="I868" s="43"/>
      <c r="J868" s="43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  <c r="Z868" s="43"/>
    </row>
    <row r="869">
      <c r="A869" s="43"/>
      <c r="B869" s="70"/>
      <c r="C869" s="43"/>
      <c r="D869" s="43"/>
      <c r="E869" s="43"/>
      <c r="F869" s="43"/>
      <c r="G869" s="43"/>
      <c r="H869" s="43"/>
      <c r="I869" s="43"/>
      <c r="J869" s="43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  <c r="Z869" s="43"/>
    </row>
    <row r="870">
      <c r="A870" s="43"/>
      <c r="B870" s="70"/>
      <c r="C870" s="43"/>
      <c r="D870" s="43"/>
      <c r="E870" s="43"/>
      <c r="F870" s="43"/>
      <c r="G870" s="43"/>
      <c r="H870" s="43"/>
      <c r="I870" s="43"/>
      <c r="J870" s="43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  <c r="Z870" s="43"/>
    </row>
    <row r="871">
      <c r="A871" s="43"/>
      <c r="B871" s="70"/>
      <c r="C871" s="43"/>
      <c r="D871" s="43"/>
      <c r="E871" s="43"/>
      <c r="F871" s="43"/>
      <c r="G871" s="43"/>
      <c r="H871" s="43"/>
      <c r="I871" s="43"/>
      <c r="J871" s="43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  <c r="Z871" s="43"/>
    </row>
    <row r="872">
      <c r="A872" s="43"/>
      <c r="B872" s="70"/>
      <c r="C872" s="43"/>
      <c r="D872" s="43"/>
      <c r="E872" s="43"/>
      <c r="F872" s="43"/>
      <c r="G872" s="43"/>
      <c r="H872" s="43"/>
      <c r="I872" s="43"/>
      <c r="J872" s="43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  <c r="Z872" s="43"/>
    </row>
    <row r="873">
      <c r="A873" s="43"/>
      <c r="B873" s="70"/>
      <c r="C873" s="43"/>
      <c r="D873" s="43"/>
      <c r="E873" s="43"/>
      <c r="F873" s="43"/>
      <c r="G873" s="43"/>
      <c r="H873" s="43"/>
      <c r="I873" s="43"/>
      <c r="J873" s="43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  <c r="Z873" s="43"/>
    </row>
    <row r="874">
      <c r="A874" s="43"/>
      <c r="B874" s="70"/>
      <c r="C874" s="43"/>
      <c r="D874" s="43"/>
      <c r="E874" s="43"/>
      <c r="F874" s="43"/>
      <c r="G874" s="43"/>
      <c r="H874" s="43"/>
      <c r="I874" s="43"/>
      <c r="J874" s="43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  <c r="Z874" s="43"/>
    </row>
    <row r="875">
      <c r="A875" s="43"/>
      <c r="B875" s="70"/>
      <c r="C875" s="43"/>
      <c r="D875" s="43"/>
      <c r="E875" s="43"/>
      <c r="F875" s="43"/>
      <c r="G875" s="43"/>
      <c r="H875" s="43"/>
      <c r="I875" s="43"/>
      <c r="J875" s="43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  <c r="Z875" s="43"/>
    </row>
    <row r="876">
      <c r="A876" s="43"/>
      <c r="B876" s="70"/>
      <c r="C876" s="43"/>
      <c r="D876" s="43"/>
      <c r="E876" s="43"/>
      <c r="F876" s="43"/>
      <c r="G876" s="43"/>
      <c r="H876" s="43"/>
      <c r="I876" s="43"/>
      <c r="J876" s="4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</row>
    <row r="877">
      <c r="A877" s="43"/>
      <c r="B877" s="70"/>
      <c r="C877" s="43"/>
      <c r="D877" s="43"/>
      <c r="E877" s="43"/>
      <c r="F877" s="43"/>
      <c r="G877" s="43"/>
      <c r="H877" s="43"/>
      <c r="I877" s="43"/>
      <c r="J877" s="43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  <c r="Z877" s="43"/>
    </row>
    <row r="878">
      <c r="A878" s="43"/>
      <c r="B878" s="70"/>
      <c r="C878" s="43"/>
      <c r="D878" s="43"/>
      <c r="E878" s="43"/>
      <c r="F878" s="43"/>
      <c r="G878" s="43"/>
      <c r="H878" s="43"/>
      <c r="I878" s="43"/>
      <c r="J878" s="43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  <c r="Z878" s="43"/>
    </row>
    <row r="879">
      <c r="A879" s="43"/>
      <c r="B879" s="70"/>
      <c r="C879" s="43"/>
      <c r="D879" s="43"/>
      <c r="E879" s="43"/>
      <c r="F879" s="43"/>
      <c r="G879" s="43"/>
      <c r="H879" s="43"/>
      <c r="I879" s="43"/>
      <c r="J879" s="43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  <c r="Z879" s="43"/>
    </row>
    <row r="880">
      <c r="A880" s="43"/>
      <c r="B880" s="70"/>
      <c r="C880" s="43"/>
      <c r="D880" s="43"/>
      <c r="E880" s="43"/>
      <c r="F880" s="43"/>
      <c r="G880" s="43"/>
      <c r="H880" s="43"/>
      <c r="I880" s="43"/>
      <c r="J880" s="43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  <c r="Z880" s="43"/>
    </row>
    <row r="881">
      <c r="A881" s="43"/>
      <c r="B881" s="70"/>
      <c r="C881" s="43"/>
      <c r="D881" s="43"/>
      <c r="E881" s="43"/>
      <c r="F881" s="43"/>
      <c r="G881" s="43"/>
      <c r="H881" s="43"/>
      <c r="I881" s="43"/>
      <c r="J881" s="43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  <c r="Z881" s="43"/>
    </row>
    <row r="882">
      <c r="A882" s="43"/>
      <c r="B882" s="70"/>
      <c r="C882" s="43"/>
      <c r="D882" s="43"/>
      <c r="E882" s="43"/>
      <c r="F882" s="43"/>
      <c r="G882" s="43"/>
      <c r="H882" s="43"/>
      <c r="I882" s="43"/>
      <c r="J882" s="43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  <c r="Z882" s="43"/>
    </row>
    <row r="883">
      <c r="A883" s="43"/>
      <c r="B883" s="70"/>
      <c r="C883" s="43"/>
      <c r="D883" s="43"/>
      <c r="E883" s="43"/>
      <c r="F883" s="43"/>
      <c r="G883" s="43"/>
      <c r="H883" s="43"/>
      <c r="I883" s="43"/>
      <c r="J883" s="4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</row>
    <row r="884">
      <c r="A884" s="43"/>
      <c r="B884" s="70"/>
      <c r="C884" s="43"/>
      <c r="D884" s="43"/>
      <c r="E884" s="43"/>
      <c r="F884" s="43"/>
      <c r="G884" s="43"/>
      <c r="H884" s="43"/>
      <c r="I884" s="43"/>
      <c r="J884" s="43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  <c r="Z884" s="43"/>
    </row>
    <row r="885">
      <c r="A885" s="43"/>
      <c r="B885" s="70"/>
      <c r="C885" s="43"/>
      <c r="D885" s="43"/>
      <c r="E885" s="43"/>
      <c r="F885" s="43"/>
      <c r="G885" s="43"/>
      <c r="H885" s="43"/>
      <c r="I885" s="43"/>
      <c r="J885" s="43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  <c r="Z885" s="43"/>
    </row>
    <row r="886">
      <c r="A886" s="43"/>
      <c r="B886" s="70"/>
      <c r="C886" s="43"/>
      <c r="D886" s="43"/>
      <c r="E886" s="43"/>
      <c r="F886" s="43"/>
      <c r="G886" s="43"/>
      <c r="H886" s="43"/>
      <c r="I886" s="43"/>
      <c r="J886" s="43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3"/>
      <c r="X886" s="43"/>
      <c r="Y886" s="43"/>
      <c r="Z886" s="43"/>
    </row>
    <row r="887">
      <c r="A887" s="43"/>
      <c r="B887" s="70"/>
      <c r="C887" s="43"/>
      <c r="D887" s="43"/>
      <c r="E887" s="43"/>
      <c r="F887" s="43"/>
      <c r="G887" s="43"/>
      <c r="H887" s="43"/>
      <c r="I887" s="43"/>
      <c r="J887" s="43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  <c r="Z887" s="43"/>
    </row>
    <row r="888">
      <c r="A888" s="43"/>
      <c r="B888" s="70"/>
      <c r="C888" s="43"/>
      <c r="D888" s="43"/>
      <c r="E888" s="43"/>
      <c r="F888" s="43"/>
      <c r="G888" s="43"/>
      <c r="H888" s="43"/>
      <c r="I888" s="43"/>
      <c r="J888" s="43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3"/>
      <c r="X888" s="43"/>
      <c r="Y888" s="43"/>
      <c r="Z888" s="43"/>
    </row>
    <row r="889">
      <c r="A889" s="43"/>
      <c r="B889" s="70"/>
      <c r="C889" s="43"/>
      <c r="D889" s="43"/>
      <c r="E889" s="43"/>
      <c r="F889" s="43"/>
      <c r="G889" s="43"/>
      <c r="H889" s="43"/>
      <c r="I889" s="43"/>
      <c r="J889" s="43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3"/>
      <c r="X889" s="43"/>
      <c r="Y889" s="43"/>
      <c r="Z889" s="43"/>
    </row>
    <row r="890">
      <c r="A890" s="43"/>
      <c r="B890" s="70"/>
      <c r="C890" s="43"/>
      <c r="D890" s="43"/>
      <c r="E890" s="43"/>
      <c r="F890" s="43"/>
      <c r="G890" s="43"/>
      <c r="H890" s="43"/>
      <c r="I890" s="43"/>
      <c r="J890" s="43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3"/>
      <c r="X890" s="43"/>
      <c r="Y890" s="43"/>
      <c r="Z890" s="43"/>
    </row>
    <row r="891">
      <c r="A891" s="43"/>
      <c r="B891" s="70"/>
      <c r="C891" s="43"/>
      <c r="D891" s="43"/>
      <c r="E891" s="43"/>
      <c r="F891" s="43"/>
      <c r="G891" s="43"/>
      <c r="H891" s="43"/>
      <c r="I891" s="43"/>
      <c r="J891" s="43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3"/>
      <c r="X891" s="43"/>
      <c r="Y891" s="43"/>
      <c r="Z891" s="43"/>
    </row>
    <row r="892">
      <c r="A892" s="43"/>
      <c r="B892" s="70"/>
      <c r="C892" s="43"/>
      <c r="D892" s="43"/>
      <c r="E892" s="43"/>
      <c r="F892" s="43"/>
      <c r="G892" s="43"/>
      <c r="H892" s="43"/>
      <c r="I892" s="43"/>
      <c r="J892" s="43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3"/>
      <c r="X892" s="43"/>
      <c r="Y892" s="43"/>
      <c r="Z892" s="43"/>
    </row>
    <row r="893">
      <c r="A893" s="43"/>
      <c r="B893" s="70"/>
      <c r="C893" s="43"/>
      <c r="D893" s="43"/>
      <c r="E893" s="43"/>
      <c r="F893" s="43"/>
      <c r="G893" s="43"/>
      <c r="H893" s="43"/>
      <c r="I893" s="43"/>
      <c r="J893" s="43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3"/>
      <c r="X893" s="43"/>
      <c r="Y893" s="43"/>
      <c r="Z893" s="43"/>
    </row>
    <row r="894">
      <c r="A894" s="43"/>
      <c r="B894" s="70"/>
      <c r="C894" s="43"/>
      <c r="D894" s="43"/>
      <c r="E894" s="43"/>
      <c r="F894" s="43"/>
      <c r="G894" s="43"/>
      <c r="H894" s="43"/>
      <c r="I894" s="43"/>
      <c r="J894" s="43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3"/>
      <c r="X894" s="43"/>
      <c r="Y894" s="43"/>
      <c r="Z894" s="43"/>
    </row>
    <row r="895">
      <c r="A895" s="43"/>
      <c r="B895" s="70"/>
      <c r="C895" s="43"/>
      <c r="D895" s="43"/>
      <c r="E895" s="43"/>
      <c r="F895" s="43"/>
      <c r="G895" s="43"/>
      <c r="H895" s="43"/>
      <c r="I895" s="43"/>
      <c r="J895" s="43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3"/>
      <c r="X895" s="43"/>
      <c r="Y895" s="43"/>
      <c r="Z895" s="43"/>
    </row>
    <row r="896">
      <c r="A896" s="43"/>
      <c r="B896" s="70"/>
      <c r="C896" s="43"/>
      <c r="D896" s="43"/>
      <c r="E896" s="43"/>
      <c r="F896" s="43"/>
      <c r="G896" s="43"/>
      <c r="H896" s="43"/>
      <c r="I896" s="43"/>
      <c r="J896" s="43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3"/>
      <c r="X896" s="43"/>
      <c r="Y896" s="43"/>
      <c r="Z896" s="43"/>
    </row>
    <row r="897">
      <c r="A897" s="43"/>
      <c r="B897" s="70"/>
      <c r="C897" s="43"/>
      <c r="D897" s="43"/>
      <c r="E897" s="43"/>
      <c r="F897" s="43"/>
      <c r="G897" s="43"/>
      <c r="H897" s="43"/>
      <c r="I897" s="43"/>
      <c r="J897" s="43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3"/>
      <c r="X897" s="43"/>
      <c r="Y897" s="43"/>
      <c r="Z897" s="43"/>
    </row>
    <row r="898">
      <c r="A898" s="43"/>
      <c r="B898" s="70"/>
      <c r="C898" s="43"/>
      <c r="D898" s="43"/>
      <c r="E898" s="43"/>
      <c r="F898" s="43"/>
      <c r="G898" s="43"/>
      <c r="H898" s="43"/>
      <c r="I898" s="43"/>
      <c r="J898" s="43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3"/>
      <c r="X898" s="43"/>
      <c r="Y898" s="43"/>
      <c r="Z898" s="43"/>
    </row>
    <row r="899">
      <c r="A899" s="43"/>
      <c r="B899" s="70"/>
      <c r="C899" s="43"/>
      <c r="D899" s="43"/>
      <c r="E899" s="43"/>
      <c r="F899" s="43"/>
      <c r="G899" s="43"/>
      <c r="H899" s="43"/>
      <c r="I899" s="43"/>
      <c r="J899" s="43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3"/>
      <c r="X899" s="43"/>
      <c r="Y899" s="43"/>
      <c r="Z899" s="43"/>
    </row>
    <row r="900">
      <c r="A900" s="43"/>
      <c r="B900" s="70"/>
      <c r="C900" s="43"/>
      <c r="D900" s="43"/>
      <c r="E900" s="43"/>
      <c r="F900" s="43"/>
      <c r="G900" s="43"/>
      <c r="H900" s="43"/>
      <c r="I900" s="43"/>
      <c r="J900" s="43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3"/>
      <c r="X900" s="43"/>
      <c r="Y900" s="43"/>
      <c r="Z900" s="43"/>
    </row>
    <row r="901">
      <c r="A901" s="43"/>
      <c r="B901" s="70"/>
      <c r="C901" s="43"/>
      <c r="D901" s="43"/>
      <c r="E901" s="43"/>
      <c r="F901" s="43"/>
      <c r="G901" s="43"/>
      <c r="H901" s="43"/>
      <c r="I901" s="43"/>
      <c r="J901" s="43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3"/>
      <c r="X901" s="43"/>
      <c r="Y901" s="43"/>
      <c r="Z901" s="43"/>
    </row>
    <row r="902">
      <c r="A902" s="43"/>
      <c r="B902" s="70"/>
      <c r="C902" s="43"/>
      <c r="D902" s="43"/>
      <c r="E902" s="43"/>
      <c r="F902" s="43"/>
      <c r="G902" s="43"/>
      <c r="H902" s="43"/>
      <c r="I902" s="43"/>
      <c r="J902" s="43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3"/>
      <c r="X902" s="43"/>
      <c r="Y902" s="43"/>
      <c r="Z902" s="43"/>
    </row>
    <row r="903">
      <c r="A903" s="43"/>
      <c r="B903" s="70"/>
      <c r="C903" s="43"/>
      <c r="D903" s="43"/>
      <c r="E903" s="43"/>
      <c r="F903" s="43"/>
      <c r="G903" s="43"/>
      <c r="H903" s="43"/>
      <c r="I903" s="43"/>
      <c r="J903" s="43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3"/>
      <c r="X903" s="43"/>
      <c r="Y903" s="43"/>
      <c r="Z903" s="43"/>
    </row>
    <row r="904">
      <c r="A904" s="43"/>
      <c r="B904" s="70"/>
      <c r="C904" s="43"/>
      <c r="D904" s="43"/>
      <c r="E904" s="43"/>
      <c r="F904" s="43"/>
      <c r="G904" s="43"/>
      <c r="H904" s="43"/>
      <c r="I904" s="43"/>
      <c r="J904" s="43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3"/>
      <c r="X904" s="43"/>
      <c r="Y904" s="43"/>
      <c r="Z904" s="43"/>
    </row>
    <row r="905">
      <c r="A905" s="43"/>
      <c r="B905" s="70"/>
      <c r="C905" s="43"/>
      <c r="D905" s="43"/>
      <c r="E905" s="43"/>
      <c r="F905" s="43"/>
      <c r="G905" s="43"/>
      <c r="H905" s="43"/>
      <c r="I905" s="43"/>
      <c r="J905" s="43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3"/>
      <c r="X905" s="43"/>
      <c r="Y905" s="43"/>
      <c r="Z905" s="43"/>
    </row>
    <row r="906">
      <c r="A906" s="43"/>
      <c r="B906" s="70"/>
      <c r="C906" s="43"/>
      <c r="D906" s="43"/>
      <c r="E906" s="43"/>
      <c r="F906" s="43"/>
      <c r="G906" s="43"/>
      <c r="H906" s="43"/>
      <c r="I906" s="43"/>
      <c r="J906" s="43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3"/>
      <c r="X906" s="43"/>
      <c r="Y906" s="43"/>
      <c r="Z906" s="43"/>
    </row>
    <row r="907">
      <c r="A907" s="43"/>
      <c r="B907" s="70"/>
      <c r="C907" s="43"/>
      <c r="D907" s="43"/>
      <c r="E907" s="43"/>
      <c r="F907" s="43"/>
      <c r="G907" s="43"/>
      <c r="H907" s="43"/>
      <c r="I907" s="43"/>
      <c r="J907" s="43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3"/>
      <c r="X907" s="43"/>
      <c r="Y907" s="43"/>
      <c r="Z907" s="43"/>
    </row>
    <row r="908">
      <c r="A908" s="43"/>
      <c r="B908" s="70"/>
      <c r="C908" s="43"/>
      <c r="D908" s="43"/>
      <c r="E908" s="43"/>
      <c r="F908" s="43"/>
      <c r="G908" s="43"/>
      <c r="H908" s="43"/>
      <c r="I908" s="43"/>
      <c r="J908" s="43"/>
      <c r="K908" s="43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3"/>
      <c r="X908" s="43"/>
      <c r="Y908" s="43"/>
      <c r="Z908" s="43"/>
    </row>
    <row r="909">
      <c r="A909" s="43"/>
      <c r="B909" s="70"/>
      <c r="C909" s="43"/>
      <c r="D909" s="43"/>
      <c r="E909" s="43"/>
      <c r="F909" s="43"/>
      <c r="G909" s="43"/>
      <c r="H909" s="43"/>
      <c r="I909" s="43"/>
      <c r="J909" s="43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</row>
    <row r="910">
      <c r="A910" s="43"/>
      <c r="B910" s="70"/>
      <c r="C910" s="43"/>
      <c r="D910" s="43"/>
      <c r="E910" s="43"/>
      <c r="F910" s="43"/>
      <c r="G910" s="43"/>
      <c r="H910" s="43"/>
      <c r="I910" s="43"/>
      <c r="J910" s="43"/>
      <c r="K910" s="43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3"/>
      <c r="X910" s="43"/>
      <c r="Y910" s="43"/>
      <c r="Z910" s="43"/>
    </row>
    <row r="911">
      <c r="A911" s="43"/>
      <c r="B911" s="70"/>
      <c r="C911" s="43"/>
      <c r="D911" s="43"/>
      <c r="E911" s="43"/>
      <c r="F911" s="43"/>
      <c r="G911" s="43"/>
      <c r="H911" s="43"/>
      <c r="I911" s="43"/>
      <c r="J911" s="43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3"/>
      <c r="X911" s="43"/>
      <c r="Y911" s="43"/>
      <c r="Z911" s="43"/>
    </row>
    <row r="912">
      <c r="A912" s="43"/>
      <c r="B912" s="70"/>
      <c r="C912" s="43"/>
      <c r="D912" s="43"/>
      <c r="E912" s="43"/>
      <c r="F912" s="43"/>
      <c r="G912" s="43"/>
      <c r="H912" s="43"/>
      <c r="I912" s="43"/>
      <c r="J912" s="43"/>
      <c r="K912" s="43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3"/>
      <c r="X912" s="43"/>
      <c r="Y912" s="43"/>
      <c r="Z912" s="43"/>
    </row>
    <row r="913">
      <c r="A913" s="43"/>
      <c r="B913" s="70"/>
      <c r="C913" s="43"/>
      <c r="D913" s="43"/>
      <c r="E913" s="43"/>
      <c r="F913" s="43"/>
      <c r="G913" s="43"/>
      <c r="H913" s="43"/>
      <c r="I913" s="43"/>
      <c r="J913" s="43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3"/>
      <c r="X913" s="43"/>
      <c r="Y913" s="43"/>
      <c r="Z913" s="43"/>
    </row>
    <row r="914">
      <c r="A914" s="43"/>
      <c r="B914" s="70"/>
      <c r="C914" s="43"/>
      <c r="D914" s="43"/>
      <c r="E914" s="43"/>
      <c r="F914" s="43"/>
      <c r="G914" s="43"/>
      <c r="H914" s="43"/>
      <c r="I914" s="43"/>
      <c r="J914" s="43"/>
      <c r="K914" s="43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3"/>
      <c r="X914" s="43"/>
      <c r="Y914" s="43"/>
      <c r="Z914" s="43"/>
    </row>
    <row r="915">
      <c r="A915" s="43"/>
      <c r="B915" s="70"/>
      <c r="C915" s="43"/>
      <c r="D915" s="43"/>
      <c r="E915" s="43"/>
      <c r="F915" s="43"/>
      <c r="G915" s="43"/>
      <c r="H915" s="43"/>
      <c r="I915" s="43"/>
      <c r="J915" s="43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3"/>
      <c r="X915" s="43"/>
      <c r="Y915" s="43"/>
      <c r="Z915" s="43"/>
    </row>
    <row r="916">
      <c r="A916" s="43"/>
      <c r="B916" s="70"/>
      <c r="C916" s="43"/>
      <c r="D916" s="43"/>
      <c r="E916" s="43"/>
      <c r="F916" s="43"/>
      <c r="G916" s="43"/>
      <c r="H916" s="43"/>
      <c r="I916" s="43"/>
      <c r="J916" s="43"/>
      <c r="K916" s="43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3"/>
      <c r="X916" s="43"/>
      <c r="Y916" s="43"/>
      <c r="Z916" s="43"/>
    </row>
    <row r="917">
      <c r="A917" s="43"/>
      <c r="B917" s="70"/>
      <c r="C917" s="43"/>
      <c r="D917" s="43"/>
      <c r="E917" s="43"/>
      <c r="F917" s="43"/>
      <c r="G917" s="43"/>
      <c r="H917" s="43"/>
      <c r="I917" s="43"/>
      <c r="J917" s="4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</row>
    <row r="918">
      <c r="A918" s="43"/>
      <c r="B918" s="70"/>
      <c r="C918" s="43"/>
      <c r="D918" s="43"/>
      <c r="E918" s="43"/>
      <c r="F918" s="43"/>
      <c r="G918" s="43"/>
      <c r="H918" s="43"/>
      <c r="I918" s="43"/>
      <c r="J918" s="43"/>
      <c r="K918" s="43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3"/>
      <c r="X918" s="43"/>
      <c r="Y918" s="43"/>
      <c r="Z918" s="43"/>
    </row>
    <row r="919">
      <c r="A919" s="43"/>
      <c r="B919" s="70"/>
      <c r="C919" s="43"/>
      <c r="D919" s="43"/>
      <c r="E919" s="43"/>
      <c r="F919" s="43"/>
      <c r="G919" s="43"/>
      <c r="H919" s="43"/>
      <c r="I919" s="43"/>
      <c r="J919" s="4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</row>
    <row r="920">
      <c r="A920" s="43"/>
      <c r="B920" s="70"/>
      <c r="C920" s="43"/>
      <c r="D920" s="43"/>
      <c r="E920" s="43"/>
      <c r="F920" s="43"/>
      <c r="G920" s="43"/>
      <c r="H920" s="43"/>
      <c r="I920" s="43"/>
      <c r="J920" s="43"/>
      <c r="K920" s="43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3"/>
      <c r="X920" s="43"/>
      <c r="Y920" s="43"/>
      <c r="Z920" s="43"/>
    </row>
    <row r="921">
      <c r="A921" s="43"/>
      <c r="B921" s="70"/>
      <c r="C921" s="43"/>
      <c r="D921" s="43"/>
      <c r="E921" s="43"/>
      <c r="F921" s="43"/>
      <c r="G921" s="43"/>
      <c r="H921" s="43"/>
      <c r="I921" s="43"/>
      <c r="J921" s="43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3"/>
      <c r="X921" s="43"/>
      <c r="Y921" s="43"/>
      <c r="Z921" s="43"/>
    </row>
    <row r="922">
      <c r="A922" s="43"/>
      <c r="B922" s="70"/>
      <c r="C922" s="43"/>
      <c r="D922" s="43"/>
      <c r="E922" s="43"/>
      <c r="F922" s="43"/>
      <c r="G922" s="43"/>
      <c r="H922" s="43"/>
      <c r="I922" s="43"/>
      <c r="J922" s="43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3"/>
      <c r="X922" s="43"/>
      <c r="Y922" s="43"/>
      <c r="Z922" s="43"/>
    </row>
    <row r="923">
      <c r="A923" s="43"/>
      <c r="B923" s="70"/>
      <c r="C923" s="43"/>
      <c r="D923" s="43"/>
      <c r="E923" s="43"/>
      <c r="F923" s="43"/>
      <c r="G923" s="43"/>
      <c r="H923" s="43"/>
      <c r="I923" s="43"/>
      <c r="J923" s="43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3"/>
      <c r="X923" s="43"/>
      <c r="Y923" s="43"/>
      <c r="Z923" s="43"/>
    </row>
    <row r="924">
      <c r="A924" s="43"/>
      <c r="B924" s="70"/>
      <c r="C924" s="43"/>
      <c r="D924" s="43"/>
      <c r="E924" s="43"/>
      <c r="F924" s="43"/>
      <c r="G924" s="43"/>
      <c r="H924" s="43"/>
      <c r="I924" s="43"/>
      <c r="J924" s="43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3"/>
      <c r="X924" s="43"/>
      <c r="Y924" s="43"/>
      <c r="Z924" s="43"/>
    </row>
    <row r="925">
      <c r="A925" s="43"/>
      <c r="B925" s="70"/>
      <c r="C925" s="43"/>
      <c r="D925" s="43"/>
      <c r="E925" s="43"/>
      <c r="F925" s="43"/>
      <c r="G925" s="43"/>
      <c r="H925" s="43"/>
      <c r="I925" s="43"/>
      <c r="J925" s="43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3"/>
      <c r="X925" s="43"/>
      <c r="Y925" s="43"/>
      <c r="Z925" s="43"/>
    </row>
    <row r="926">
      <c r="A926" s="43"/>
      <c r="B926" s="70"/>
      <c r="C926" s="43"/>
      <c r="D926" s="43"/>
      <c r="E926" s="43"/>
      <c r="F926" s="43"/>
      <c r="G926" s="43"/>
      <c r="H926" s="43"/>
      <c r="I926" s="43"/>
      <c r="J926" s="4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</row>
    <row r="927">
      <c r="A927" s="43"/>
      <c r="B927" s="70"/>
      <c r="C927" s="43"/>
      <c r="D927" s="43"/>
      <c r="E927" s="43"/>
      <c r="F927" s="43"/>
      <c r="G927" s="43"/>
      <c r="H927" s="43"/>
      <c r="I927" s="43"/>
      <c r="J927" s="43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3"/>
      <c r="X927" s="43"/>
      <c r="Y927" s="43"/>
      <c r="Z927" s="43"/>
    </row>
    <row r="928">
      <c r="A928" s="43"/>
      <c r="B928" s="70"/>
      <c r="C928" s="43"/>
      <c r="D928" s="43"/>
      <c r="E928" s="43"/>
      <c r="F928" s="43"/>
      <c r="G928" s="43"/>
      <c r="H928" s="43"/>
      <c r="I928" s="43"/>
      <c r="J928" s="43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3"/>
      <c r="X928" s="43"/>
      <c r="Y928" s="43"/>
      <c r="Z928" s="43"/>
    </row>
    <row r="929">
      <c r="A929" s="43"/>
      <c r="B929" s="70"/>
      <c r="C929" s="43"/>
      <c r="D929" s="43"/>
      <c r="E929" s="43"/>
      <c r="F929" s="43"/>
      <c r="G929" s="43"/>
      <c r="H929" s="43"/>
      <c r="I929" s="43"/>
      <c r="J929" s="43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3"/>
      <c r="X929" s="43"/>
      <c r="Y929" s="43"/>
      <c r="Z929" s="43"/>
    </row>
    <row r="930">
      <c r="A930" s="43"/>
      <c r="B930" s="70"/>
      <c r="C930" s="43"/>
      <c r="D930" s="43"/>
      <c r="E930" s="43"/>
      <c r="F930" s="43"/>
      <c r="G930" s="43"/>
      <c r="H930" s="43"/>
      <c r="I930" s="43"/>
      <c r="J930" s="43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3"/>
      <c r="X930" s="43"/>
      <c r="Y930" s="43"/>
      <c r="Z930" s="43"/>
    </row>
    <row r="931">
      <c r="A931" s="43"/>
      <c r="B931" s="70"/>
      <c r="C931" s="43"/>
      <c r="D931" s="43"/>
      <c r="E931" s="43"/>
      <c r="F931" s="43"/>
      <c r="G931" s="43"/>
      <c r="H931" s="43"/>
      <c r="I931" s="43"/>
      <c r="J931" s="43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3"/>
      <c r="X931" s="43"/>
      <c r="Y931" s="43"/>
      <c r="Z931" s="43"/>
    </row>
    <row r="932">
      <c r="A932" s="43"/>
      <c r="B932" s="70"/>
      <c r="C932" s="43"/>
      <c r="D932" s="43"/>
      <c r="E932" s="43"/>
      <c r="F932" s="43"/>
      <c r="G932" s="43"/>
      <c r="H932" s="43"/>
      <c r="I932" s="43"/>
      <c r="J932" s="43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3"/>
      <c r="X932" s="43"/>
      <c r="Y932" s="43"/>
      <c r="Z932" s="43"/>
    </row>
    <row r="933">
      <c r="A933" s="43"/>
      <c r="B933" s="70"/>
      <c r="C933" s="43"/>
      <c r="D933" s="43"/>
      <c r="E933" s="43"/>
      <c r="F933" s="43"/>
      <c r="G933" s="43"/>
      <c r="H933" s="43"/>
      <c r="I933" s="43"/>
      <c r="J933" s="43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3"/>
      <c r="X933" s="43"/>
      <c r="Y933" s="43"/>
      <c r="Z933" s="43"/>
    </row>
    <row r="934">
      <c r="A934" s="43"/>
      <c r="B934" s="70"/>
      <c r="C934" s="43"/>
      <c r="D934" s="43"/>
      <c r="E934" s="43"/>
      <c r="F934" s="43"/>
      <c r="G934" s="43"/>
      <c r="H934" s="43"/>
      <c r="I934" s="43"/>
      <c r="J934" s="43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3"/>
      <c r="X934" s="43"/>
      <c r="Y934" s="43"/>
      <c r="Z934" s="43"/>
    </row>
    <row r="935">
      <c r="A935" s="43"/>
      <c r="B935" s="70"/>
      <c r="C935" s="43"/>
      <c r="D935" s="43"/>
      <c r="E935" s="43"/>
      <c r="F935" s="43"/>
      <c r="G935" s="43"/>
      <c r="H935" s="43"/>
      <c r="I935" s="43"/>
      <c r="J935" s="43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3"/>
      <c r="X935" s="43"/>
      <c r="Y935" s="43"/>
      <c r="Z935" s="43"/>
    </row>
    <row r="936">
      <c r="A936" s="43"/>
      <c r="B936" s="70"/>
      <c r="C936" s="43"/>
      <c r="D936" s="43"/>
      <c r="E936" s="43"/>
      <c r="F936" s="43"/>
      <c r="G936" s="43"/>
      <c r="H936" s="43"/>
      <c r="I936" s="43"/>
      <c r="J936" s="43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3"/>
      <c r="X936" s="43"/>
      <c r="Y936" s="43"/>
      <c r="Z936" s="43"/>
    </row>
    <row r="937">
      <c r="A937" s="43"/>
      <c r="B937" s="70"/>
      <c r="C937" s="43"/>
      <c r="D937" s="43"/>
      <c r="E937" s="43"/>
      <c r="F937" s="43"/>
      <c r="G937" s="43"/>
      <c r="H937" s="43"/>
      <c r="I937" s="43"/>
      <c r="J937" s="43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3"/>
      <c r="X937" s="43"/>
      <c r="Y937" s="43"/>
      <c r="Z937" s="43"/>
    </row>
    <row r="938">
      <c r="A938" s="43"/>
      <c r="B938" s="70"/>
      <c r="C938" s="43"/>
      <c r="D938" s="43"/>
      <c r="E938" s="43"/>
      <c r="F938" s="43"/>
      <c r="G938" s="43"/>
      <c r="H938" s="43"/>
      <c r="I938" s="43"/>
      <c r="J938" s="43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3"/>
      <c r="X938" s="43"/>
      <c r="Y938" s="43"/>
      <c r="Z938" s="43"/>
    </row>
    <row r="939">
      <c r="A939" s="43"/>
      <c r="B939" s="70"/>
      <c r="C939" s="43"/>
      <c r="D939" s="43"/>
      <c r="E939" s="43"/>
      <c r="F939" s="43"/>
      <c r="G939" s="43"/>
      <c r="H939" s="43"/>
      <c r="I939" s="43"/>
      <c r="J939" s="43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3"/>
      <c r="X939" s="43"/>
      <c r="Y939" s="43"/>
      <c r="Z939" s="43"/>
    </row>
    <row r="940">
      <c r="A940" s="43"/>
      <c r="B940" s="70"/>
      <c r="C940" s="43"/>
      <c r="D940" s="43"/>
      <c r="E940" s="43"/>
      <c r="F940" s="43"/>
      <c r="G940" s="43"/>
      <c r="H940" s="43"/>
      <c r="I940" s="43"/>
      <c r="J940" s="43"/>
      <c r="K940" s="43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3"/>
      <c r="X940" s="43"/>
      <c r="Y940" s="43"/>
      <c r="Z940" s="43"/>
    </row>
    <row r="941">
      <c r="A941" s="43"/>
      <c r="B941" s="70"/>
      <c r="C941" s="43"/>
      <c r="D941" s="43"/>
      <c r="E941" s="43"/>
      <c r="F941" s="43"/>
      <c r="G941" s="43"/>
      <c r="H941" s="43"/>
      <c r="I941" s="43"/>
      <c r="J941" s="43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3"/>
      <c r="X941" s="43"/>
      <c r="Y941" s="43"/>
      <c r="Z941" s="43"/>
    </row>
    <row r="942">
      <c r="A942" s="43"/>
      <c r="B942" s="70"/>
      <c r="C942" s="43"/>
      <c r="D942" s="43"/>
      <c r="E942" s="43"/>
      <c r="F942" s="43"/>
      <c r="G942" s="43"/>
      <c r="H942" s="43"/>
      <c r="I942" s="43"/>
      <c r="J942" s="43"/>
      <c r="K942" s="43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3"/>
      <c r="X942" s="43"/>
      <c r="Y942" s="43"/>
      <c r="Z942" s="43"/>
    </row>
    <row r="943">
      <c r="A943" s="43"/>
      <c r="B943" s="70"/>
      <c r="C943" s="43"/>
      <c r="D943" s="43"/>
      <c r="E943" s="43"/>
      <c r="F943" s="43"/>
      <c r="G943" s="43"/>
      <c r="H943" s="43"/>
      <c r="I943" s="43"/>
      <c r="J943" s="43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3"/>
      <c r="X943" s="43"/>
      <c r="Y943" s="43"/>
      <c r="Z943" s="43"/>
    </row>
    <row r="944">
      <c r="A944" s="43"/>
      <c r="B944" s="70"/>
      <c r="C944" s="43"/>
      <c r="D944" s="43"/>
      <c r="E944" s="43"/>
      <c r="F944" s="43"/>
      <c r="G944" s="43"/>
      <c r="H944" s="43"/>
      <c r="I944" s="43"/>
      <c r="J944" s="43"/>
      <c r="K944" s="43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3"/>
      <c r="X944" s="43"/>
      <c r="Y944" s="43"/>
      <c r="Z944" s="43"/>
    </row>
    <row r="945">
      <c r="A945" s="43"/>
      <c r="B945" s="70"/>
      <c r="C945" s="43"/>
      <c r="D945" s="43"/>
      <c r="E945" s="43"/>
      <c r="F945" s="43"/>
      <c r="G945" s="43"/>
      <c r="H945" s="43"/>
      <c r="I945" s="43"/>
      <c r="J945" s="43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3"/>
      <c r="X945" s="43"/>
      <c r="Y945" s="43"/>
      <c r="Z945" s="43"/>
    </row>
    <row r="946">
      <c r="A946" s="43"/>
      <c r="B946" s="70"/>
      <c r="C946" s="43"/>
      <c r="D946" s="43"/>
      <c r="E946" s="43"/>
      <c r="F946" s="43"/>
      <c r="G946" s="43"/>
      <c r="H946" s="43"/>
      <c r="I946" s="43"/>
      <c r="J946" s="43"/>
      <c r="K946" s="43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3"/>
      <c r="X946" s="43"/>
      <c r="Y946" s="43"/>
      <c r="Z946" s="43"/>
    </row>
    <row r="947">
      <c r="A947" s="43"/>
      <c r="B947" s="70"/>
      <c r="C947" s="43"/>
      <c r="D947" s="43"/>
      <c r="E947" s="43"/>
      <c r="F947" s="43"/>
      <c r="G947" s="43"/>
      <c r="H947" s="43"/>
      <c r="I947" s="43"/>
      <c r="J947" s="43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3"/>
      <c r="X947" s="43"/>
      <c r="Y947" s="43"/>
      <c r="Z947" s="43"/>
    </row>
    <row r="948">
      <c r="A948" s="43"/>
      <c r="B948" s="70"/>
      <c r="C948" s="43"/>
      <c r="D948" s="43"/>
      <c r="E948" s="43"/>
      <c r="F948" s="43"/>
      <c r="G948" s="43"/>
      <c r="H948" s="43"/>
      <c r="I948" s="43"/>
      <c r="J948" s="43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3"/>
      <c r="X948" s="43"/>
      <c r="Y948" s="43"/>
      <c r="Z948" s="43"/>
    </row>
    <row r="949">
      <c r="A949" s="43"/>
      <c r="B949" s="70"/>
      <c r="C949" s="43"/>
      <c r="D949" s="43"/>
      <c r="E949" s="43"/>
      <c r="F949" s="43"/>
      <c r="G949" s="43"/>
      <c r="H949" s="43"/>
      <c r="I949" s="43"/>
      <c r="J949" s="43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3"/>
      <c r="X949" s="43"/>
      <c r="Y949" s="43"/>
      <c r="Z949" s="43"/>
    </row>
    <row r="950">
      <c r="A950" s="43"/>
      <c r="B950" s="70"/>
      <c r="C950" s="43"/>
      <c r="D950" s="43"/>
      <c r="E950" s="43"/>
      <c r="F950" s="43"/>
      <c r="G950" s="43"/>
      <c r="H950" s="43"/>
      <c r="I950" s="43"/>
      <c r="J950" s="43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3"/>
      <c r="X950" s="43"/>
      <c r="Y950" s="43"/>
      <c r="Z950" s="43"/>
    </row>
    <row r="951">
      <c r="A951" s="43"/>
      <c r="B951" s="70"/>
      <c r="C951" s="43"/>
      <c r="D951" s="43"/>
      <c r="E951" s="43"/>
      <c r="F951" s="43"/>
      <c r="G951" s="43"/>
      <c r="H951" s="43"/>
      <c r="I951" s="43"/>
      <c r="J951" s="43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3"/>
      <c r="X951" s="43"/>
      <c r="Y951" s="43"/>
      <c r="Z951" s="43"/>
    </row>
    <row r="952">
      <c r="A952" s="43"/>
      <c r="B952" s="70"/>
      <c r="C952" s="43"/>
      <c r="D952" s="43"/>
      <c r="E952" s="43"/>
      <c r="F952" s="43"/>
      <c r="G952" s="43"/>
      <c r="H952" s="43"/>
      <c r="I952" s="43"/>
      <c r="J952" s="43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3"/>
      <c r="X952" s="43"/>
      <c r="Y952" s="43"/>
      <c r="Z952" s="43"/>
    </row>
    <row r="953">
      <c r="A953" s="43"/>
      <c r="B953" s="70"/>
      <c r="C953" s="43"/>
      <c r="D953" s="43"/>
      <c r="E953" s="43"/>
      <c r="F953" s="43"/>
      <c r="G953" s="43"/>
      <c r="H953" s="43"/>
      <c r="I953" s="43"/>
      <c r="J953" s="43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3"/>
      <c r="X953" s="43"/>
      <c r="Y953" s="43"/>
      <c r="Z953" s="43"/>
    </row>
    <row r="954">
      <c r="A954" s="43"/>
      <c r="B954" s="70"/>
      <c r="C954" s="43"/>
      <c r="D954" s="43"/>
      <c r="E954" s="43"/>
      <c r="F954" s="43"/>
      <c r="G954" s="43"/>
      <c r="H954" s="43"/>
      <c r="I954" s="43"/>
      <c r="J954" s="43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3"/>
      <c r="X954" s="43"/>
      <c r="Y954" s="43"/>
      <c r="Z954" s="43"/>
    </row>
    <row r="955">
      <c r="A955" s="43"/>
      <c r="B955" s="70"/>
      <c r="C955" s="43"/>
      <c r="D955" s="43"/>
      <c r="E955" s="43"/>
      <c r="F955" s="43"/>
      <c r="G955" s="43"/>
      <c r="H955" s="43"/>
      <c r="I955" s="43"/>
      <c r="J955" s="43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3"/>
      <c r="X955" s="43"/>
      <c r="Y955" s="43"/>
      <c r="Z955" s="43"/>
    </row>
    <row r="956">
      <c r="A956" s="43"/>
      <c r="B956" s="70"/>
      <c r="C956" s="43"/>
      <c r="D956" s="43"/>
      <c r="E956" s="43"/>
      <c r="F956" s="43"/>
      <c r="G956" s="43"/>
      <c r="H956" s="43"/>
      <c r="I956" s="43"/>
      <c r="J956" s="43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3"/>
      <c r="X956" s="43"/>
      <c r="Y956" s="43"/>
      <c r="Z956" s="43"/>
    </row>
    <row r="957">
      <c r="A957" s="43"/>
      <c r="B957" s="70"/>
      <c r="C957" s="43"/>
      <c r="D957" s="43"/>
      <c r="E957" s="43"/>
      <c r="F957" s="43"/>
      <c r="G957" s="43"/>
      <c r="H957" s="43"/>
      <c r="I957" s="43"/>
      <c r="J957" s="43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3"/>
      <c r="X957" s="43"/>
      <c r="Y957" s="43"/>
      <c r="Z957" s="43"/>
    </row>
    <row r="958">
      <c r="A958" s="43"/>
      <c r="B958" s="70"/>
      <c r="C958" s="43"/>
      <c r="D958" s="43"/>
      <c r="E958" s="43"/>
      <c r="F958" s="43"/>
      <c r="G958" s="43"/>
      <c r="H958" s="43"/>
      <c r="I958" s="43"/>
      <c r="J958" s="43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3"/>
      <c r="X958" s="43"/>
      <c r="Y958" s="43"/>
      <c r="Z958" s="43"/>
    </row>
    <row r="959">
      <c r="A959" s="43"/>
      <c r="B959" s="70"/>
      <c r="C959" s="43"/>
      <c r="D959" s="43"/>
      <c r="E959" s="43"/>
      <c r="F959" s="43"/>
      <c r="G959" s="43"/>
      <c r="H959" s="43"/>
      <c r="I959" s="43"/>
      <c r="J959" s="43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3"/>
      <c r="X959" s="43"/>
      <c r="Y959" s="43"/>
      <c r="Z959" s="43"/>
    </row>
    <row r="960">
      <c r="A960" s="43"/>
      <c r="B960" s="70"/>
      <c r="C960" s="43"/>
      <c r="D960" s="43"/>
      <c r="E960" s="43"/>
      <c r="F960" s="43"/>
      <c r="G960" s="43"/>
      <c r="H960" s="43"/>
      <c r="I960" s="43"/>
      <c r="J960" s="43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3"/>
      <c r="X960" s="43"/>
      <c r="Y960" s="43"/>
      <c r="Z960" s="43"/>
    </row>
    <row r="961">
      <c r="A961" s="43"/>
      <c r="B961" s="70"/>
      <c r="C961" s="43"/>
      <c r="D961" s="43"/>
      <c r="E961" s="43"/>
      <c r="F961" s="43"/>
      <c r="G961" s="43"/>
      <c r="H961" s="43"/>
      <c r="I961" s="43"/>
      <c r="J961" s="43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3"/>
      <c r="X961" s="43"/>
      <c r="Y961" s="43"/>
      <c r="Z961" s="43"/>
    </row>
    <row r="962">
      <c r="A962" s="43"/>
      <c r="B962" s="70"/>
      <c r="C962" s="43"/>
      <c r="D962" s="43"/>
      <c r="E962" s="43"/>
      <c r="F962" s="43"/>
      <c r="G962" s="43"/>
      <c r="H962" s="43"/>
      <c r="I962" s="43"/>
      <c r="J962" s="43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3"/>
      <c r="X962" s="43"/>
      <c r="Y962" s="43"/>
      <c r="Z962" s="43"/>
    </row>
    <row r="963">
      <c r="A963" s="43"/>
      <c r="B963" s="70"/>
      <c r="C963" s="43"/>
      <c r="D963" s="43"/>
      <c r="E963" s="43"/>
      <c r="F963" s="43"/>
      <c r="G963" s="43"/>
      <c r="H963" s="43"/>
      <c r="I963" s="43"/>
      <c r="J963" s="43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3"/>
      <c r="X963" s="43"/>
      <c r="Y963" s="43"/>
      <c r="Z963" s="43"/>
    </row>
    <row r="964">
      <c r="A964" s="43"/>
      <c r="B964" s="70"/>
      <c r="C964" s="43"/>
      <c r="D964" s="43"/>
      <c r="E964" s="43"/>
      <c r="F964" s="43"/>
      <c r="G964" s="43"/>
      <c r="H964" s="43"/>
      <c r="I964" s="43"/>
      <c r="J964" s="43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3"/>
      <c r="X964" s="43"/>
      <c r="Y964" s="43"/>
      <c r="Z964" s="43"/>
    </row>
    <row r="965">
      <c r="A965" s="43"/>
      <c r="B965" s="70"/>
      <c r="C965" s="43"/>
      <c r="D965" s="43"/>
      <c r="E965" s="43"/>
      <c r="F965" s="43"/>
      <c r="G965" s="43"/>
      <c r="H965" s="43"/>
      <c r="I965" s="43"/>
      <c r="J965" s="43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3"/>
      <c r="X965" s="43"/>
      <c r="Y965" s="43"/>
      <c r="Z965" s="43"/>
    </row>
    <row r="966">
      <c r="A966" s="43"/>
      <c r="B966" s="70"/>
      <c r="C966" s="43"/>
      <c r="D966" s="43"/>
      <c r="E966" s="43"/>
      <c r="F966" s="43"/>
      <c r="G966" s="43"/>
      <c r="H966" s="43"/>
      <c r="I966" s="43"/>
      <c r="J966" s="43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3"/>
      <c r="X966" s="43"/>
      <c r="Y966" s="43"/>
      <c r="Z966" s="43"/>
    </row>
    <row r="967">
      <c r="A967" s="43"/>
      <c r="B967" s="70"/>
      <c r="C967" s="43"/>
      <c r="D967" s="43"/>
      <c r="E967" s="43"/>
      <c r="F967" s="43"/>
      <c r="G967" s="43"/>
      <c r="H967" s="43"/>
      <c r="I967" s="43"/>
      <c r="J967" s="43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3"/>
      <c r="X967" s="43"/>
      <c r="Y967" s="43"/>
      <c r="Z967" s="43"/>
    </row>
    <row r="968">
      <c r="A968" s="43"/>
      <c r="B968" s="70"/>
      <c r="C968" s="43"/>
      <c r="D968" s="43"/>
      <c r="E968" s="43"/>
      <c r="F968" s="43"/>
      <c r="G968" s="43"/>
      <c r="H968" s="43"/>
      <c r="I968" s="43"/>
      <c r="J968" s="43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3"/>
      <c r="X968" s="43"/>
      <c r="Y968" s="43"/>
      <c r="Z968" s="43"/>
    </row>
    <row r="969">
      <c r="A969" s="43"/>
      <c r="B969" s="70"/>
      <c r="C969" s="43"/>
      <c r="D969" s="43"/>
      <c r="E969" s="43"/>
      <c r="F969" s="43"/>
      <c r="G969" s="43"/>
      <c r="H969" s="43"/>
      <c r="I969" s="43"/>
      <c r="J969" s="43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3"/>
      <c r="X969" s="43"/>
      <c r="Y969" s="43"/>
      <c r="Z969" s="43"/>
    </row>
    <row r="970">
      <c r="A970" s="43"/>
      <c r="B970" s="70"/>
      <c r="C970" s="43"/>
      <c r="D970" s="43"/>
      <c r="E970" s="43"/>
      <c r="F970" s="43"/>
      <c r="G970" s="43"/>
      <c r="H970" s="43"/>
      <c r="I970" s="43"/>
      <c r="J970" s="43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3"/>
      <c r="X970" s="43"/>
      <c r="Y970" s="43"/>
      <c r="Z970" s="43"/>
    </row>
    <row r="971">
      <c r="A971" s="43"/>
      <c r="B971" s="70"/>
      <c r="C971" s="43"/>
      <c r="D971" s="43"/>
      <c r="E971" s="43"/>
      <c r="F971" s="43"/>
      <c r="G971" s="43"/>
      <c r="H971" s="43"/>
      <c r="I971" s="43"/>
      <c r="J971" s="43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3"/>
      <c r="X971" s="43"/>
      <c r="Y971" s="43"/>
      <c r="Z971" s="43"/>
    </row>
    <row r="972">
      <c r="A972" s="43"/>
      <c r="B972" s="70"/>
      <c r="C972" s="43"/>
      <c r="D972" s="43"/>
      <c r="E972" s="43"/>
      <c r="F972" s="43"/>
      <c r="G972" s="43"/>
      <c r="H972" s="43"/>
      <c r="I972" s="43"/>
      <c r="J972" s="43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3"/>
      <c r="X972" s="43"/>
      <c r="Y972" s="43"/>
      <c r="Z972" s="43"/>
    </row>
    <row r="973">
      <c r="A973" s="43"/>
      <c r="B973" s="70"/>
      <c r="C973" s="43"/>
      <c r="D973" s="43"/>
      <c r="E973" s="43"/>
      <c r="F973" s="43"/>
      <c r="G973" s="43"/>
      <c r="H973" s="43"/>
      <c r="I973" s="43"/>
      <c r="J973" s="43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3"/>
      <c r="X973" s="43"/>
      <c r="Y973" s="43"/>
      <c r="Z973" s="43"/>
    </row>
    <row r="974">
      <c r="A974" s="43"/>
      <c r="B974" s="70"/>
      <c r="C974" s="43"/>
      <c r="D974" s="43"/>
      <c r="E974" s="43"/>
      <c r="F974" s="43"/>
      <c r="G974" s="43"/>
      <c r="H974" s="43"/>
      <c r="I974" s="43"/>
      <c r="J974" s="43"/>
      <c r="K974" s="43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3"/>
      <c r="X974" s="43"/>
      <c r="Y974" s="43"/>
      <c r="Z974" s="43"/>
    </row>
    <row r="975">
      <c r="A975" s="43"/>
      <c r="B975" s="70"/>
      <c r="C975" s="43"/>
      <c r="D975" s="43"/>
      <c r="E975" s="43"/>
      <c r="F975" s="43"/>
      <c r="G975" s="43"/>
      <c r="H975" s="43"/>
      <c r="I975" s="43"/>
      <c r="J975" s="43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3"/>
      <c r="X975" s="43"/>
      <c r="Y975" s="43"/>
      <c r="Z975" s="43"/>
    </row>
    <row r="976">
      <c r="A976" s="43"/>
      <c r="B976" s="70"/>
      <c r="C976" s="43"/>
      <c r="D976" s="43"/>
      <c r="E976" s="43"/>
      <c r="F976" s="43"/>
      <c r="G976" s="43"/>
      <c r="H976" s="43"/>
      <c r="I976" s="43"/>
      <c r="J976" s="43"/>
      <c r="K976" s="43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3"/>
      <c r="X976" s="43"/>
      <c r="Y976" s="43"/>
      <c r="Z976" s="43"/>
    </row>
    <row r="977">
      <c r="A977" s="43"/>
      <c r="B977" s="70"/>
      <c r="C977" s="43"/>
      <c r="D977" s="43"/>
      <c r="E977" s="43"/>
      <c r="F977" s="43"/>
      <c r="G977" s="43"/>
      <c r="H977" s="43"/>
      <c r="I977" s="43"/>
      <c r="J977" s="43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3"/>
      <c r="X977" s="43"/>
      <c r="Y977" s="43"/>
      <c r="Z977" s="43"/>
    </row>
    <row r="978">
      <c r="A978" s="43"/>
      <c r="B978" s="70"/>
      <c r="C978" s="43"/>
      <c r="D978" s="43"/>
      <c r="E978" s="43"/>
      <c r="F978" s="43"/>
      <c r="G978" s="43"/>
      <c r="H978" s="43"/>
      <c r="I978" s="43"/>
      <c r="J978" s="43"/>
      <c r="K978" s="43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3"/>
      <c r="X978" s="43"/>
      <c r="Y978" s="43"/>
      <c r="Z978" s="43"/>
    </row>
    <row r="979">
      <c r="A979" s="43"/>
      <c r="B979" s="70"/>
      <c r="C979" s="43"/>
      <c r="D979" s="43"/>
      <c r="E979" s="43"/>
      <c r="F979" s="43"/>
      <c r="G979" s="43"/>
      <c r="H979" s="43"/>
      <c r="I979" s="43"/>
      <c r="J979" s="43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3"/>
      <c r="X979" s="43"/>
      <c r="Y979" s="43"/>
      <c r="Z979" s="43"/>
    </row>
    <row r="980">
      <c r="A980" s="43"/>
      <c r="B980" s="70"/>
      <c r="C980" s="43"/>
      <c r="D980" s="43"/>
      <c r="E980" s="43"/>
      <c r="F980" s="43"/>
      <c r="G980" s="43"/>
      <c r="H980" s="43"/>
      <c r="I980" s="43"/>
      <c r="J980" s="43"/>
      <c r="K980" s="43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43"/>
      <c r="X980" s="43"/>
      <c r="Y980" s="43"/>
      <c r="Z980" s="43"/>
    </row>
    <row r="981">
      <c r="A981" s="43"/>
      <c r="B981" s="70"/>
      <c r="C981" s="43"/>
      <c r="D981" s="43"/>
      <c r="E981" s="43"/>
      <c r="F981" s="43"/>
      <c r="G981" s="43"/>
      <c r="H981" s="43"/>
      <c r="I981" s="43"/>
      <c r="J981" s="43"/>
      <c r="K981" s="43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43"/>
      <c r="X981" s="43"/>
      <c r="Y981" s="43"/>
      <c r="Z981" s="43"/>
    </row>
    <row r="982">
      <c r="A982" s="43"/>
      <c r="B982" s="70"/>
      <c r="C982" s="43"/>
      <c r="D982" s="43"/>
      <c r="E982" s="43"/>
      <c r="F982" s="43"/>
      <c r="G982" s="43"/>
      <c r="H982" s="43"/>
      <c r="I982" s="43"/>
      <c r="J982" s="43"/>
      <c r="K982" s="43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43"/>
      <c r="X982" s="43"/>
      <c r="Y982" s="43"/>
      <c r="Z982" s="43"/>
    </row>
    <row r="983">
      <c r="A983" s="43"/>
      <c r="B983" s="70"/>
      <c r="C983" s="43"/>
      <c r="D983" s="43"/>
      <c r="E983" s="43"/>
      <c r="F983" s="43"/>
      <c r="G983" s="43"/>
      <c r="H983" s="43"/>
      <c r="I983" s="43"/>
      <c r="J983" s="43"/>
      <c r="K983" s="43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43"/>
      <c r="X983" s="43"/>
      <c r="Y983" s="43"/>
      <c r="Z983" s="43"/>
    </row>
    <row r="984">
      <c r="A984" s="43"/>
      <c r="B984" s="70"/>
      <c r="C984" s="43"/>
      <c r="D984" s="43"/>
      <c r="E984" s="43"/>
      <c r="F984" s="43"/>
      <c r="G984" s="43"/>
      <c r="H984" s="43"/>
      <c r="I984" s="43"/>
      <c r="J984" s="43"/>
      <c r="K984" s="43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43"/>
      <c r="X984" s="43"/>
      <c r="Y984" s="43"/>
      <c r="Z984" s="43"/>
    </row>
    <row r="985">
      <c r="A985" s="43"/>
      <c r="B985" s="70"/>
      <c r="C985" s="43"/>
      <c r="D985" s="43"/>
      <c r="E985" s="43"/>
      <c r="F985" s="43"/>
      <c r="G985" s="43"/>
      <c r="H985" s="43"/>
      <c r="I985" s="43"/>
      <c r="J985" s="43"/>
      <c r="K985" s="43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43"/>
      <c r="X985" s="43"/>
      <c r="Y985" s="43"/>
      <c r="Z985" s="43"/>
    </row>
    <row r="986">
      <c r="A986" s="43"/>
      <c r="B986" s="70"/>
      <c r="C986" s="43"/>
      <c r="D986" s="43"/>
      <c r="E986" s="43"/>
      <c r="F986" s="43"/>
      <c r="G986" s="43"/>
      <c r="H986" s="43"/>
      <c r="I986" s="43"/>
      <c r="J986" s="43"/>
      <c r="K986" s="43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43"/>
      <c r="X986" s="43"/>
      <c r="Y986" s="43"/>
      <c r="Z986" s="43"/>
    </row>
    <row r="987">
      <c r="A987" s="43"/>
      <c r="B987" s="70"/>
      <c r="C987" s="43"/>
      <c r="D987" s="43"/>
      <c r="E987" s="43"/>
      <c r="F987" s="43"/>
      <c r="G987" s="43"/>
      <c r="H987" s="43"/>
      <c r="I987" s="43"/>
      <c r="J987" s="43"/>
      <c r="K987" s="43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43"/>
      <c r="X987" s="43"/>
      <c r="Y987" s="43"/>
      <c r="Z987" s="43"/>
    </row>
    <row r="988">
      <c r="A988" s="43"/>
      <c r="B988" s="70"/>
      <c r="C988" s="43"/>
      <c r="D988" s="43"/>
      <c r="E988" s="43"/>
      <c r="F988" s="43"/>
      <c r="G988" s="43"/>
      <c r="H988" s="43"/>
      <c r="I988" s="43"/>
      <c r="J988" s="43"/>
      <c r="K988" s="43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43"/>
      <c r="X988" s="43"/>
      <c r="Y988" s="43"/>
      <c r="Z988" s="43"/>
    </row>
    <row r="989">
      <c r="A989" s="43"/>
      <c r="B989" s="70"/>
      <c r="C989" s="43"/>
      <c r="D989" s="43"/>
      <c r="E989" s="43"/>
      <c r="F989" s="43"/>
      <c r="G989" s="43"/>
      <c r="H989" s="43"/>
      <c r="I989" s="43"/>
      <c r="J989" s="43"/>
      <c r="K989" s="43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43"/>
      <c r="X989" s="43"/>
      <c r="Y989" s="43"/>
      <c r="Z989" s="43"/>
    </row>
    <row r="990">
      <c r="A990" s="43"/>
      <c r="B990" s="70"/>
      <c r="C990" s="43"/>
      <c r="D990" s="43"/>
      <c r="E990" s="43"/>
      <c r="F990" s="43"/>
      <c r="G990" s="43"/>
      <c r="H990" s="43"/>
      <c r="I990" s="43"/>
      <c r="J990" s="43"/>
      <c r="K990" s="43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43"/>
      <c r="X990" s="43"/>
      <c r="Y990" s="43"/>
      <c r="Z990" s="43"/>
    </row>
    <row r="991">
      <c r="A991" s="43"/>
      <c r="B991" s="70"/>
      <c r="C991" s="43"/>
      <c r="D991" s="43"/>
      <c r="E991" s="43"/>
      <c r="F991" s="43"/>
      <c r="G991" s="43"/>
      <c r="H991" s="43"/>
      <c r="I991" s="43"/>
      <c r="J991" s="43"/>
      <c r="K991" s="43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43"/>
      <c r="X991" s="43"/>
      <c r="Y991" s="43"/>
      <c r="Z991" s="43"/>
    </row>
    <row r="992">
      <c r="A992" s="43"/>
      <c r="B992" s="70"/>
      <c r="C992" s="43"/>
      <c r="D992" s="43"/>
      <c r="E992" s="43"/>
      <c r="F992" s="43"/>
      <c r="G992" s="43"/>
      <c r="H992" s="43"/>
      <c r="I992" s="43"/>
      <c r="J992" s="43"/>
      <c r="K992" s="43"/>
      <c r="L992" s="43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43"/>
      <c r="X992" s="43"/>
      <c r="Y992" s="43"/>
      <c r="Z992" s="43"/>
    </row>
    <row r="993">
      <c r="A993" s="43"/>
      <c r="B993" s="70"/>
      <c r="C993" s="43"/>
      <c r="D993" s="43"/>
      <c r="E993" s="43"/>
      <c r="F993" s="43"/>
      <c r="G993" s="43"/>
      <c r="H993" s="43"/>
      <c r="I993" s="43"/>
      <c r="J993" s="43"/>
      <c r="K993" s="43"/>
      <c r="L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43"/>
      <c r="X993" s="43"/>
      <c r="Y993" s="43"/>
      <c r="Z993" s="43"/>
    </row>
    <row r="994">
      <c r="A994" s="43"/>
      <c r="B994" s="70"/>
      <c r="C994" s="43"/>
      <c r="D994" s="43"/>
      <c r="E994" s="43"/>
      <c r="F994" s="43"/>
      <c r="G994" s="43"/>
      <c r="H994" s="43"/>
      <c r="I994" s="43"/>
      <c r="J994" s="43"/>
      <c r="K994" s="43"/>
      <c r="L994" s="43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43"/>
      <c r="X994" s="43"/>
      <c r="Y994" s="43"/>
      <c r="Z994" s="43"/>
    </row>
    <row r="995">
      <c r="A995" s="43"/>
      <c r="B995" s="70"/>
      <c r="C995" s="43"/>
      <c r="D995" s="43"/>
      <c r="E995" s="43"/>
      <c r="F995" s="43"/>
      <c r="G995" s="43"/>
      <c r="H995" s="43"/>
      <c r="I995" s="43"/>
      <c r="J995" s="43"/>
      <c r="K995" s="43"/>
      <c r="L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43"/>
      <c r="X995" s="43"/>
      <c r="Y995" s="43"/>
      <c r="Z995" s="43"/>
    </row>
    <row r="996">
      <c r="A996" s="43"/>
      <c r="B996" s="70"/>
      <c r="C996" s="43"/>
      <c r="D996" s="43"/>
      <c r="E996" s="43"/>
      <c r="F996" s="43"/>
      <c r="G996" s="43"/>
      <c r="H996" s="43"/>
      <c r="I996" s="43"/>
      <c r="J996" s="43"/>
      <c r="K996" s="43"/>
      <c r="L996" s="43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43"/>
      <c r="X996" s="43"/>
      <c r="Y996" s="43"/>
      <c r="Z996" s="43"/>
    </row>
    <row r="997">
      <c r="A997" s="43"/>
      <c r="B997" s="70"/>
      <c r="C997" s="43"/>
      <c r="D997" s="43"/>
      <c r="E997" s="43"/>
      <c r="F997" s="43"/>
      <c r="G997" s="43"/>
      <c r="H997" s="43"/>
      <c r="I997" s="43"/>
      <c r="J997" s="43"/>
      <c r="K997" s="43"/>
      <c r="L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43"/>
      <c r="X997" s="43"/>
      <c r="Y997" s="43"/>
      <c r="Z997" s="43"/>
    </row>
    <row r="998">
      <c r="A998" s="43"/>
      <c r="B998" s="70"/>
      <c r="C998" s="43"/>
      <c r="D998" s="43"/>
      <c r="E998" s="43"/>
      <c r="F998" s="43"/>
      <c r="G998" s="43"/>
      <c r="H998" s="43"/>
      <c r="I998" s="43"/>
      <c r="J998" s="43"/>
      <c r="K998" s="43"/>
      <c r="L998" s="43"/>
      <c r="M998" s="43"/>
      <c r="N998" s="43"/>
      <c r="O998" s="43"/>
      <c r="P998" s="43"/>
      <c r="Q998" s="43"/>
      <c r="R998" s="43"/>
      <c r="S998" s="43"/>
      <c r="T998" s="43"/>
      <c r="U998" s="43"/>
      <c r="V998" s="43"/>
      <c r="W998" s="43"/>
      <c r="X998" s="43"/>
      <c r="Y998" s="43"/>
      <c r="Z998" s="43"/>
    </row>
    <row r="999">
      <c r="A999" s="43"/>
      <c r="B999" s="70"/>
      <c r="C999" s="43"/>
      <c r="D999" s="43"/>
      <c r="E999" s="43"/>
      <c r="F999" s="43"/>
      <c r="G999" s="43"/>
      <c r="H999" s="43"/>
      <c r="I999" s="43"/>
      <c r="J999" s="43"/>
      <c r="K999" s="43"/>
      <c r="L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43"/>
      <c r="X999" s="43"/>
      <c r="Y999" s="43"/>
      <c r="Z999" s="43"/>
    </row>
    <row r="1000">
      <c r="A1000" s="43"/>
      <c r="B1000" s="70"/>
      <c r="C1000" s="43"/>
      <c r="D1000" s="43"/>
      <c r="E1000" s="43"/>
      <c r="F1000" s="43"/>
      <c r="G1000" s="43"/>
      <c r="H1000" s="43"/>
      <c r="I1000" s="43"/>
      <c r="J1000" s="43"/>
      <c r="K1000" s="43"/>
      <c r="L1000" s="43"/>
      <c r="M1000" s="43"/>
      <c r="N1000" s="43"/>
      <c r="O1000" s="43"/>
      <c r="P1000" s="43"/>
      <c r="Q1000" s="43"/>
      <c r="R1000" s="43"/>
      <c r="S1000" s="43"/>
      <c r="T1000" s="43"/>
      <c r="U1000" s="43"/>
      <c r="V1000" s="43"/>
      <c r="W1000" s="43"/>
      <c r="X1000" s="43"/>
      <c r="Y1000" s="43"/>
      <c r="Z1000" s="43"/>
    </row>
    <row r="1001">
      <c r="A1001" s="43"/>
      <c r="B1001" s="70"/>
      <c r="C1001" s="43"/>
      <c r="D1001" s="43"/>
      <c r="E1001" s="43"/>
      <c r="F1001" s="43"/>
      <c r="G1001" s="43"/>
      <c r="H1001" s="43"/>
      <c r="I1001" s="43"/>
      <c r="J1001" s="43"/>
      <c r="K1001" s="43"/>
      <c r="L1001" s="43"/>
      <c r="M1001" s="43"/>
      <c r="N1001" s="43"/>
      <c r="O1001" s="43"/>
      <c r="P1001" s="43"/>
      <c r="Q1001" s="43"/>
      <c r="R1001" s="43"/>
      <c r="S1001" s="43"/>
      <c r="T1001" s="43"/>
      <c r="U1001" s="43"/>
      <c r="V1001" s="43"/>
      <c r="W1001" s="43"/>
      <c r="X1001" s="43"/>
      <c r="Y1001" s="43"/>
      <c r="Z1001" s="43"/>
    </row>
    <row r="1002">
      <c r="A1002" s="43"/>
      <c r="B1002" s="70"/>
      <c r="C1002" s="43"/>
      <c r="D1002" s="43"/>
      <c r="E1002" s="43"/>
      <c r="F1002" s="43"/>
      <c r="G1002" s="43"/>
      <c r="H1002" s="43"/>
      <c r="I1002" s="43"/>
      <c r="J1002" s="43"/>
      <c r="K1002" s="43"/>
      <c r="L1002" s="43"/>
      <c r="M1002" s="43"/>
      <c r="N1002" s="43"/>
      <c r="O1002" s="43"/>
      <c r="P1002" s="43"/>
      <c r="Q1002" s="43"/>
      <c r="R1002" s="43"/>
      <c r="S1002" s="43"/>
      <c r="T1002" s="43"/>
      <c r="U1002" s="43"/>
      <c r="V1002" s="43"/>
      <c r="W1002" s="43"/>
      <c r="X1002" s="43"/>
      <c r="Y1002" s="43"/>
      <c r="Z1002" s="43"/>
    </row>
    <row r="1003">
      <c r="A1003" s="43"/>
      <c r="B1003" s="70"/>
      <c r="C1003" s="43"/>
      <c r="D1003" s="43"/>
      <c r="E1003" s="43"/>
      <c r="F1003" s="43"/>
      <c r="G1003" s="43"/>
      <c r="H1003" s="43"/>
      <c r="I1003" s="43"/>
      <c r="J1003" s="43"/>
      <c r="K1003" s="43"/>
      <c r="L1003" s="43"/>
      <c r="M1003" s="43"/>
      <c r="N1003" s="43"/>
      <c r="O1003" s="43"/>
      <c r="P1003" s="43"/>
      <c r="Q1003" s="43"/>
      <c r="R1003" s="43"/>
      <c r="S1003" s="43"/>
      <c r="T1003" s="43"/>
      <c r="U1003" s="43"/>
      <c r="V1003" s="43"/>
      <c r="W1003" s="43"/>
      <c r="X1003" s="43"/>
      <c r="Y1003" s="43"/>
      <c r="Z1003" s="43"/>
    </row>
    <row r="1004">
      <c r="A1004" s="43"/>
      <c r="B1004" s="70"/>
      <c r="C1004" s="43"/>
      <c r="D1004" s="43"/>
      <c r="E1004" s="43"/>
      <c r="F1004" s="43"/>
      <c r="G1004" s="43"/>
      <c r="H1004" s="43"/>
      <c r="I1004" s="43"/>
      <c r="J1004" s="43"/>
      <c r="K1004" s="43"/>
      <c r="L1004" s="43"/>
      <c r="M1004" s="43"/>
      <c r="N1004" s="43"/>
      <c r="O1004" s="43"/>
      <c r="P1004" s="43"/>
      <c r="Q1004" s="43"/>
      <c r="R1004" s="43"/>
      <c r="S1004" s="43"/>
      <c r="T1004" s="43"/>
      <c r="U1004" s="43"/>
      <c r="V1004" s="43"/>
      <c r="W1004" s="43"/>
      <c r="X1004" s="43"/>
      <c r="Y1004" s="43"/>
      <c r="Z1004" s="43"/>
    </row>
    <row r="1005">
      <c r="A1005" s="43"/>
      <c r="B1005" s="70"/>
      <c r="C1005" s="43"/>
      <c r="D1005" s="43"/>
      <c r="E1005" s="43"/>
      <c r="F1005" s="43"/>
      <c r="G1005" s="43"/>
      <c r="H1005" s="43"/>
      <c r="I1005" s="43"/>
      <c r="J1005" s="43"/>
      <c r="K1005" s="43"/>
      <c r="L1005" s="43"/>
      <c r="M1005" s="43"/>
      <c r="N1005" s="43"/>
      <c r="O1005" s="43"/>
      <c r="P1005" s="43"/>
      <c r="Q1005" s="43"/>
      <c r="R1005" s="43"/>
      <c r="S1005" s="43"/>
      <c r="T1005" s="43"/>
      <c r="U1005" s="43"/>
      <c r="V1005" s="43"/>
      <c r="W1005" s="43"/>
      <c r="X1005" s="43"/>
      <c r="Y1005" s="43"/>
      <c r="Z1005" s="43"/>
    </row>
    <row r="1006">
      <c r="A1006" s="43"/>
      <c r="B1006" s="70"/>
      <c r="C1006" s="43"/>
      <c r="D1006" s="43"/>
      <c r="E1006" s="43"/>
      <c r="F1006" s="43"/>
      <c r="G1006" s="43"/>
      <c r="H1006" s="43"/>
      <c r="I1006" s="43"/>
      <c r="J1006" s="43"/>
      <c r="K1006" s="43"/>
      <c r="L1006" s="43"/>
      <c r="M1006" s="43"/>
      <c r="N1006" s="43"/>
      <c r="O1006" s="43"/>
      <c r="P1006" s="43"/>
      <c r="Q1006" s="43"/>
      <c r="R1006" s="43"/>
      <c r="S1006" s="43"/>
      <c r="T1006" s="43"/>
      <c r="U1006" s="43"/>
      <c r="V1006" s="43"/>
      <c r="W1006" s="43"/>
      <c r="X1006" s="43"/>
      <c r="Y1006" s="43"/>
      <c r="Z1006" s="43"/>
    </row>
    <row r="1007">
      <c r="A1007" s="43"/>
      <c r="B1007" s="70"/>
      <c r="C1007" s="43"/>
      <c r="D1007" s="43"/>
      <c r="E1007" s="43"/>
      <c r="F1007" s="43"/>
      <c r="G1007" s="43"/>
      <c r="H1007" s="43"/>
      <c r="I1007" s="43"/>
      <c r="J1007" s="43"/>
      <c r="K1007" s="43"/>
      <c r="L1007" s="43"/>
      <c r="M1007" s="43"/>
      <c r="N1007" s="43"/>
      <c r="O1007" s="43"/>
      <c r="P1007" s="43"/>
      <c r="Q1007" s="43"/>
      <c r="R1007" s="43"/>
      <c r="S1007" s="43"/>
      <c r="T1007" s="43"/>
      <c r="U1007" s="43"/>
      <c r="V1007" s="43"/>
      <c r="W1007" s="43"/>
      <c r="X1007" s="43"/>
      <c r="Y1007" s="43"/>
      <c r="Z1007" s="43"/>
    </row>
    <row r="1008">
      <c r="A1008" s="43"/>
      <c r="B1008" s="70"/>
      <c r="C1008" s="43"/>
      <c r="D1008" s="43"/>
      <c r="E1008" s="43"/>
      <c r="F1008" s="43"/>
      <c r="G1008" s="43"/>
      <c r="H1008" s="43"/>
      <c r="I1008" s="43"/>
      <c r="J1008" s="43"/>
      <c r="K1008" s="43"/>
      <c r="L1008" s="43"/>
      <c r="M1008" s="43"/>
      <c r="N1008" s="43"/>
      <c r="O1008" s="43"/>
      <c r="P1008" s="43"/>
      <c r="Q1008" s="43"/>
      <c r="R1008" s="43"/>
      <c r="S1008" s="43"/>
      <c r="T1008" s="43"/>
      <c r="U1008" s="43"/>
      <c r="V1008" s="43"/>
      <c r="W1008" s="43"/>
      <c r="X1008" s="43"/>
      <c r="Y1008" s="43"/>
      <c r="Z1008" s="43"/>
    </row>
    <row r="1009">
      <c r="A1009" s="43"/>
      <c r="B1009" s="70"/>
      <c r="C1009" s="43"/>
      <c r="D1009" s="43"/>
      <c r="E1009" s="43"/>
      <c r="F1009" s="43"/>
      <c r="G1009" s="43"/>
      <c r="H1009" s="43"/>
      <c r="I1009" s="43"/>
      <c r="J1009" s="43"/>
      <c r="K1009" s="43"/>
      <c r="L1009" s="43"/>
      <c r="M1009" s="43"/>
      <c r="N1009" s="43"/>
      <c r="O1009" s="43"/>
      <c r="P1009" s="43"/>
      <c r="Q1009" s="43"/>
      <c r="R1009" s="43"/>
      <c r="S1009" s="43"/>
      <c r="T1009" s="43"/>
      <c r="U1009" s="43"/>
      <c r="V1009" s="43"/>
      <c r="W1009" s="43"/>
      <c r="X1009" s="43"/>
      <c r="Y1009" s="43"/>
      <c r="Z1009" s="43"/>
    </row>
    <row r="1010">
      <c r="A1010" s="43"/>
      <c r="B1010" s="70"/>
      <c r="C1010" s="43"/>
      <c r="D1010" s="43"/>
      <c r="E1010" s="43"/>
      <c r="F1010" s="43"/>
      <c r="G1010" s="43"/>
      <c r="H1010" s="43"/>
      <c r="I1010" s="43"/>
      <c r="J1010" s="43"/>
      <c r="K1010" s="43"/>
      <c r="L1010" s="43"/>
      <c r="M1010" s="43"/>
      <c r="N1010" s="43"/>
      <c r="O1010" s="43"/>
      <c r="P1010" s="43"/>
      <c r="Q1010" s="43"/>
      <c r="R1010" s="43"/>
      <c r="S1010" s="43"/>
      <c r="T1010" s="43"/>
      <c r="U1010" s="43"/>
      <c r="V1010" s="43"/>
      <c r="W1010" s="43"/>
      <c r="X1010" s="43"/>
      <c r="Y1010" s="43"/>
      <c r="Z1010" s="43"/>
    </row>
    <row r="1011">
      <c r="A1011" s="43"/>
      <c r="B1011" s="70"/>
      <c r="C1011" s="43"/>
      <c r="D1011" s="43"/>
      <c r="E1011" s="43"/>
      <c r="F1011" s="43"/>
      <c r="G1011" s="43"/>
      <c r="H1011" s="43"/>
      <c r="I1011" s="43"/>
      <c r="J1011" s="43"/>
      <c r="K1011" s="43"/>
      <c r="L1011" s="43"/>
      <c r="M1011" s="43"/>
      <c r="N1011" s="43"/>
      <c r="O1011" s="43"/>
      <c r="P1011" s="43"/>
      <c r="Q1011" s="43"/>
      <c r="R1011" s="43"/>
      <c r="S1011" s="43"/>
      <c r="T1011" s="43"/>
      <c r="U1011" s="43"/>
      <c r="V1011" s="43"/>
      <c r="W1011" s="43"/>
      <c r="X1011" s="43"/>
      <c r="Y1011" s="43"/>
      <c r="Z1011" s="43"/>
    </row>
    <row r="1012">
      <c r="A1012" s="43"/>
      <c r="B1012" s="70"/>
      <c r="C1012" s="43"/>
      <c r="D1012" s="43"/>
      <c r="E1012" s="43"/>
      <c r="F1012" s="43"/>
      <c r="G1012" s="43"/>
      <c r="H1012" s="43"/>
      <c r="I1012" s="43"/>
      <c r="J1012" s="43"/>
      <c r="K1012" s="43"/>
      <c r="L1012" s="43"/>
      <c r="M1012" s="43"/>
      <c r="N1012" s="43"/>
      <c r="O1012" s="43"/>
      <c r="P1012" s="43"/>
      <c r="Q1012" s="43"/>
      <c r="R1012" s="43"/>
      <c r="S1012" s="43"/>
      <c r="T1012" s="43"/>
      <c r="U1012" s="43"/>
      <c r="V1012" s="43"/>
      <c r="W1012" s="43"/>
      <c r="X1012" s="43"/>
      <c r="Y1012" s="43"/>
      <c r="Z1012" s="43"/>
    </row>
    <row r="1013">
      <c r="A1013" s="43"/>
      <c r="B1013" s="70"/>
      <c r="C1013" s="43"/>
      <c r="D1013" s="43"/>
      <c r="E1013" s="43"/>
      <c r="F1013" s="43"/>
      <c r="G1013" s="43"/>
      <c r="H1013" s="43"/>
      <c r="I1013" s="43"/>
      <c r="J1013" s="43"/>
      <c r="K1013" s="43"/>
      <c r="L1013" s="43"/>
      <c r="M1013" s="43"/>
      <c r="N1013" s="43"/>
      <c r="O1013" s="43"/>
      <c r="P1013" s="43"/>
      <c r="Q1013" s="43"/>
      <c r="R1013" s="43"/>
      <c r="S1013" s="43"/>
      <c r="T1013" s="43"/>
      <c r="U1013" s="43"/>
      <c r="V1013" s="43"/>
      <c r="W1013" s="43"/>
      <c r="X1013" s="43"/>
      <c r="Y1013" s="43"/>
      <c r="Z1013" s="43"/>
    </row>
    <row r="1014">
      <c r="A1014" s="43"/>
      <c r="B1014" s="70"/>
      <c r="C1014" s="43"/>
      <c r="D1014" s="43"/>
      <c r="E1014" s="43"/>
      <c r="F1014" s="43"/>
      <c r="G1014" s="43"/>
      <c r="H1014" s="43"/>
      <c r="I1014" s="43"/>
      <c r="J1014" s="43"/>
      <c r="K1014" s="43"/>
      <c r="L1014" s="43"/>
      <c r="M1014" s="43"/>
      <c r="N1014" s="43"/>
      <c r="O1014" s="43"/>
      <c r="P1014" s="43"/>
      <c r="Q1014" s="43"/>
      <c r="R1014" s="43"/>
      <c r="S1014" s="43"/>
      <c r="T1014" s="43"/>
      <c r="U1014" s="43"/>
      <c r="V1014" s="43"/>
      <c r="W1014" s="43"/>
      <c r="X1014" s="43"/>
      <c r="Y1014" s="43"/>
      <c r="Z1014" s="43"/>
    </row>
    <row r="1015">
      <c r="A1015" s="43"/>
      <c r="B1015" s="70"/>
      <c r="C1015" s="43"/>
      <c r="D1015" s="43"/>
      <c r="E1015" s="43"/>
      <c r="F1015" s="43"/>
      <c r="G1015" s="43"/>
      <c r="H1015" s="43"/>
      <c r="I1015" s="43"/>
      <c r="J1015" s="43"/>
      <c r="K1015" s="43"/>
      <c r="L1015" s="43"/>
      <c r="M1015" s="43"/>
      <c r="N1015" s="43"/>
      <c r="O1015" s="43"/>
      <c r="P1015" s="43"/>
      <c r="Q1015" s="43"/>
      <c r="R1015" s="43"/>
      <c r="S1015" s="43"/>
      <c r="T1015" s="43"/>
      <c r="U1015" s="43"/>
      <c r="V1015" s="43"/>
      <c r="W1015" s="43"/>
      <c r="X1015" s="43"/>
      <c r="Y1015" s="43"/>
      <c r="Z1015" s="43"/>
    </row>
    <row r="1016">
      <c r="A1016" s="43"/>
      <c r="B1016" s="70"/>
      <c r="C1016" s="43"/>
      <c r="D1016" s="43"/>
      <c r="E1016" s="43"/>
      <c r="F1016" s="43"/>
      <c r="G1016" s="43"/>
      <c r="H1016" s="43"/>
      <c r="I1016" s="43"/>
      <c r="J1016" s="43"/>
      <c r="K1016" s="43"/>
      <c r="L1016" s="43"/>
      <c r="M1016" s="43"/>
      <c r="N1016" s="43"/>
      <c r="O1016" s="43"/>
      <c r="P1016" s="43"/>
      <c r="Q1016" s="43"/>
      <c r="R1016" s="43"/>
      <c r="S1016" s="43"/>
      <c r="T1016" s="43"/>
      <c r="U1016" s="43"/>
      <c r="V1016" s="43"/>
      <c r="W1016" s="43"/>
      <c r="X1016" s="43"/>
      <c r="Y1016" s="43"/>
      <c r="Z1016" s="43"/>
    </row>
    <row r="1017">
      <c r="A1017" s="43"/>
      <c r="B1017" s="70"/>
      <c r="C1017" s="43"/>
      <c r="D1017" s="43"/>
      <c r="E1017" s="43"/>
      <c r="F1017" s="43"/>
      <c r="G1017" s="43"/>
      <c r="H1017" s="43"/>
      <c r="I1017" s="43"/>
      <c r="J1017" s="43"/>
      <c r="K1017" s="43"/>
      <c r="L1017" s="43"/>
      <c r="M1017" s="43"/>
      <c r="N1017" s="43"/>
      <c r="O1017" s="43"/>
      <c r="P1017" s="43"/>
      <c r="Q1017" s="43"/>
      <c r="R1017" s="43"/>
      <c r="S1017" s="43"/>
      <c r="T1017" s="43"/>
      <c r="U1017" s="43"/>
      <c r="V1017" s="43"/>
      <c r="W1017" s="43"/>
      <c r="X1017" s="43"/>
      <c r="Y1017" s="43"/>
      <c r="Z1017" s="43"/>
    </row>
    <row r="1018">
      <c r="A1018" s="43"/>
      <c r="B1018" s="70"/>
      <c r="C1018" s="43"/>
      <c r="D1018" s="43"/>
      <c r="E1018" s="43"/>
      <c r="F1018" s="43"/>
      <c r="G1018" s="43"/>
      <c r="H1018" s="43"/>
      <c r="I1018" s="43"/>
      <c r="J1018" s="43"/>
      <c r="K1018" s="43"/>
      <c r="L1018" s="43"/>
      <c r="M1018" s="43"/>
      <c r="N1018" s="43"/>
      <c r="O1018" s="43"/>
      <c r="P1018" s="43"/>
      <c r="Q1018" s="43"/>
      <c r="R1018" s="43"/>
      <c r="S1018" s="43"/>
      <c r="T1018" s="43"/>
      <c r="U1018" s="43"/>
      <c r="V1018" s="43"/>
      <c r="W1018" s="43"/>
      <c r="X1018" s="43"/>
      <c r="Y1018" s="43"/>
      <c r="Z1018" s="43"/>
    </row>
    <row r="1019">
      <c r="A1019" s="43"/>
      <c r="B1019" s="70"/>
      <c r="C1019" s="43"/>
      <c r="D1019" s="43"/>
      <c r="E1019" s="43"/>
      <c r="F1019" s="43"/>
      <c r="G1019" s="43"/>
      <c r="H1019" s="43"/>
      <c r="I1019" s="43"/>
      <c r="J1019" s="43"/>
      <c r="K1019" s="43"/>
      <c r="L1019" s="43"/>
      <c r="M1019" s="43"/>
      <c r="N1019" s="43"/>
      <c r="O1019" s="43"/>
      <c r="P1019" s="43"/>
      <c r="Q1019" s="43"/>
      <c r="R1019" s="43"/>
      <c r="S1019" s="43"/>
      <c r="T1019" s="43"/>
      <c r="U1019" s="43"/>
      <c r="V1019" s="43"/>
      <c r="W1019" s="43"/>
      <c r="X1019" s="43"/>
      <c r="Y1019" s="43"/>
      <c r="Z1019" s="43"/>
    </row>
    <row r="1020">
      <c r="A1020" s="43"/>
      <c r="B1020" s="70"/>
      <c r="C1020" s="43"/>
      <c r="D1020" s="43"/>
      <c r="E1020" s="43"/>
      <c r="F1020" s="43"/>
      <c r="G1020" s="43"/>
      <c r="H1020" s="43"/>
      <c r="I1020" s="43"/>
      <c r="J1020" s="43"/>
      <c r="K1020" s="43"/>
      <c r="L1020" s="43"/>
      <c r="M1020" s="43"/>
      <c r="N1020" s="43"/>
      <c r="O1020" s="43"/>
      <c r="P1020" s="43"/>
      <c r="Q1020" s="43"/>
      <c r="R1020" s="43"/>
      <c r="S1020" s="43"/>
      <c r="T1020" s="43"/>
      <c r="U1020" s="43"/>
      <c r="V1020" s="43"/>
      <c r="W1020" s="43"/>
      <c r="X1020" s="43"/>
      <c r="Y1020" s="43"/>
      <c r="Z1020" s="43"/>
    </row>
    <row r="1021">
      <c r="A1021" s="43"/>
      <c r="B1021" s="70"/>
      <c r="C1021" s="43"/>
      <c r="D1021" s="43"/>
      <c r="E1021" s="43"/>
      <c r="F1021" s="43"/>
      <c r="G1021" s="43"/>
      <c r="H1021" s="43"/>
      <c r="I1021" s="43"/>
      <c r="J1021" s="43"/>
      <c r="K1021" s="43"/>
      <c r="L1021" s="43"/>
      <c r="M1021" s="43"/>
      <c r="N1021" s="43"/>
      <c r="O1021" s="43"/>
      <c r="P1021" s="43"/>
      <c r="Q1021" s="43"/>
      <c r="R1021" s="43"/>
      <c r="S1021" s="43"/>
      <c r="T1021" s="43"/>
      <c r="U1021" s="43"/>
      <c r="V1021" s="43"/>
      <c r="W1021" s="43"/>
      <c r="X1021" s="43"/>
      <c r="Y1021" s="43"/>
      <c r="Z1021" s="43"/>
    </row>
    <row r="1022">
      <c r="A1022" s="43"/>
      <c r="B1022" s="70"/>
      <c r="C1022" s="43"/>
      <c r="D1022" s="43"/>
      <c r="E1022" s="43"/>
      <c r="F1022" s="43"/>
      <c r="G1022" s="43"/>
      <c r="H1022" s="43"/>
      <c r="I1022" s="43"/>
      <c r="J1022" s="43"/>
      <c r="K1022" s="43"/>
      <c r="L1022" s="43"/>
      <c r="M1022" s="43"/>
      <c r="N1022" s="43"/>
      <c r="O1022" s="43"/>
      <c r="P1022" s="43"/>
      <c r="Q1022" s="43"/>
      <c r="R1022" s="43"/>
      <c r="S1022" s="43"/>
      <c r="T1022" s="43"/>
      <c r="U1022" s="43"/>
      <c r="V1022" s="43"/>
      <c r="W1022" s="43"/>
      <c r="X1022" s="43"/>
      <c r="Y1022" s="43"/>
      <c r="Z1022" s="43"/>
    </row>
    <row r="1023">
      <c r="A1023" s="43"/>
      <c r="B1023" s="70"/>
      <c r="C1023" s="43"/>
      <c r="D1023" s="43"/>
      <c r="E1023" s="43"/>
      <c r="F1023" s="43"/>
      <c r="G1023" s="43"/>
      <c r="H1023" s="43"/>
      <c r="I1023" s="43"/>
      <c r="J1023" s="43"/>
      <c r="K1023" s="43"/>
      <c r="L1023" s="43"/>
      <c r="M1023" s="43"/>
      <c r="N1023" s="43"/>
      <c r="O1023" s="43"/>
      <c r="P1023" s="43"/>
      <c r="Q1023" s="43"/>
      <c r="R1023" s="43"/>
      <c r="S1023" s="43"/>
      <c r="T1023" s="43"/>
      <c r="U1023" s="43"/>
      <c r="V1023" s="43"/>
      <c r="W1023" s="43"/>
      <c r="X1023" s="43"/>
      <c r="Y1023" s="43"/>
      <c r="Z1023" s="43"/>
    </row>
    <row r="1024">
      <c r="A1024" s="43"/>
      <c r="B1024" s="70"/>
      <c r="C1024" s="43"/>
      <c r="D1024" s="43"/>
      <c r="E1024" s="43"/>
      <c r="F1024" s="43"/>
      <c r="G1024" s="43"/>
      <c r="H1024" s="43"/>
      <c r="I1024" s="43"/>
      <c r="J1024" s="43"/>
      <c r="K1024" s="43"/>
      <c r="L1024" s="43"/>
      <c r="M1024" s="43"/>
      <c r="N1024" s="43"/>
      <c r="O1024" s="43"/>
      <c r="P1024" s="43"/>
      <c r="Q1024" s="43"/>
      <c r="R1024" s="43"/>
      <c r="S1024" s="43"/>
      <c r="T1024" s="43"/>
      <c r="U1024" s="43"/>
      <c r="V1024" s="43"/>
      <c r="W1024" s="43"/>
      <c r="X1024" s="43"/>
      <c r="Y1024" s="43"/>
      <c r="Z1024" s="43"/>
    </row>
    <row r="1025">
      <c r="A1025" s="43"/>
      <c r="B1025" s="70"/>
      <c r="C1025" s="43"/>
      <c r="D1025" s="43"/>
      <c r="E1025" s="43"/>
      <c r="F1025" s="43"/>
      <c r="G1025" s="43"/>
      <c r="H1025" s="43"/>
      <c r="I1025" s="43"/>
      <c r="J1025" s="43"/>
      <c r="K1025" s="43"/>
      <c r="L1025" s="43"/>
      <c r="M1025" s="43"/>
      <c r="N1025" s="43"/>
      <c r="O1025" s="43"/>
      <c r="P1025" s="43"/>
      <c r="Q1025" s="43"/>
      <c r="R1025" s="43"/>
      <c r="S1025" s="43"/>
      <c r="T1025" s="43"/>
      <c r="U1025" s="43"/>
      <c r="V1025" s="43"/>
      <c r="W1025" s="43"/>
      <c r="X1025" s="43"/>
      <c r="Y1025" s="43"/>
      <c r="Z1025" s="43"/>
    </row>
    <row r="1026">
      <c r="A1026" s="43"/>
      <c r="B1026" s="70"/>
      <c r="C1026" s="43"/>
      <c r="D1026" s="43"/>
      <c r="E1026" s="43"/>
      <c r="F1026" s="43"/>
      <c r="G1026" s="43"/>
      <c r="H1026" s="43"/>
      <c r="I1026" s="43"/>
      <c r="J1026" s="43"/>
      <c r="K1026" s="43"/>
      <c r="L1026" s="43"/>
      <c r="M1026" s="43"/>
      <c r="N1026" s="43"/>
      <c r="O1026" s="43"/>
      <c r="P1026" s="43"/>
      <c r="Q1026" s="43"/>
      <c r="R1026" s="43"/>
      <c r="S1026" s="43"/>
      <c r="T1026" s="43"/>
      <c r="U1026" s="43"/>
      <c r="V1026" s="43"/>
      <c r="W1026" s="43"/>
      <c r="X1026" s="43"/>
      <c r="Y1026" s="43"/>
      <c r="Z1026" s="43"/>
    </row>
    <row r="1027">
      <c r="A1027" s="43"/>
      <c r="B1027" s="70"/>
      <c r="C1027" s="43"/>
      <c r="D1027" s="43"/>
      <c r="E1027" s="43"/>
      <c r="F1027" s="43"/>
      <c r="G1027" s="43"/>
      <c r="H1027" s="43"/>
      <c r="I1027" s="43"/>
      <c r="J1027" s="43"/>
      <c r="K1027" s="43"/>
      <c r="L1027" s="43"/>
      <c r="M1027" s="43"/>
      <c r="N1027" s="43"/>
      <c r="O1027" s="43"/>
      <c r="P1027" s="43"/>
      <c r="Q1027" s="43"/>
      <c r="R1027" s="43"/>
      <c r="S1027" s="43"/>
      <c r="T1027" s="43"/>
      <c r="U1027" s="43"/>
      <c r="V1027" s="43"/>
      <c r="W1027" s="43"/>
      <c r="X1027" s="43"/>
      <c r="Y1027" s="43"/>
      <c r="Z1027" s="43"/>
    </row>
    <row r="1028">
      <c r="A1028" s="43"/>
      <c r="B1028" s="70"/>
      <c r="C1028" s="43"/>
      <c r="D1028" s="43"/>
      <c r="E1028" s="43"/>
      <c r="F1028" s="43"/>
      <c r="G1028" s="43"/>
      <c r="H1028" s="43"/>
      <c r="I1028" s="43"/>
      <c r="J1028" s="43"/>
      <c r="K1028" s="43"/>
      <c r="L1028" s="43"/>
      <c r="M1028" s="43"/>
      <c r="N1028" s="43"/>
      <c r="O1028" s="43"/>
      <c r="P1028" s="43"/>
      <c r="Q1028" s="43"/>
      <c r="R1028" s="43"/>
      <c r="S1028" s="43"/>
      <c r="T1028" s="43"/>
      <c r="U1028" s="43"/>
      <c r="V1028" s="43"/>
      <c r="W1028" s="43"/>
      <c r="X1028" s="43"/>
      <c r="Y1028" s="43"/>
      <c r="Z1028" s="43"/>
    </row>
    <row r="1029">
      <c r="A1029" s="43"/>
      <c r="B1029" s="70"/>
      <c r="C1029" s="43"/>
      <c r="D1029" s="43"/>
      <c r="E1029" s="43"/>
      <c r="F1029" s="43"/>
      <c r="G1029" s="43"/>
      <c r="H1029" s="43"/>
      <c r="I1029" s="43"/>
      <c r="J1029" s="43"/>
      <c r="K1029" s="43"/>
      <c r="L1029" s="43"/>
      <c r="M1029" s="43"/>
      <c r="N1029" s="43"/>
      <c r="O1029" s="43"/>
      <c r="P1029" s="43"/>
      <c r="Q1029" s="43"/>
      <c r="R1029" s="43"/>
      <c r="S1029" s="43"/>
      <c r="T1029" s="43"/>
      <c r="U1029" s="43"/>
      <c r="V1029" s="43"/>
      <c r="W1029" s="43"/>
      <c r="X1029" s="43"/>
      <c r="Y1029" s="43"/>
      <c r="Z1029" s="43"/>
    </row>
    <row r="1030">
      <c r="A1030" s="43"/>
      <c r="B1030" s="70"/>
      <c r="C1030" s="43"/>
      <c r="D1030" s="43"/>
      <c r="E1030" s="43"/>
      <c r="F1030" s="43"/>
      <c r="G1030" s="43"/>
      <c r="H1030" s="43"/>
      <c r="I1030" s="43"/>
      <c r="J1030" s="43"/>
      <c r="K1030" s="43"/>
      <c r="L1030" s="43"/>
      <c r="M1030" s="43"/>
      <c r="N1030" s="43"/>
      <c r="O1030" s="43"/>
      <c r="P1030" s="43"/>
      <c r="Q1030" s="43"/>
      <c r="R1030" s="43"/>
      <c r="S1030" s="43"/>
      <c r="T1030" s="43"/>
      <c r="U1030" s="43"/>
      <c r="V1030" s="43"/>
      <c r="W1030" s="43"/>
      <c r="X1030" s="43"/>
      <c r="Y1030" s="43"/>
      <c r="Z1030" s="43"/>
    </row>
    <row r="1031">
      <c r="A1031" s="43"/>
      <c r="B1031" s="70"/>
      <c r="C1031" s="43"/>
      <c r="D1031" s="43"/>
      <c r="E1031" s="43"/>
      <c r="F1031" s="43"/>
      <c r="G1031" s="43"/>
      <c r="H1031" s="43"/>
      <c r="I1031" s="43"/>
      <c r="J1031" s="43"/>
      <c r="K1031" s="43"/>
      <c r="L1031" s="43"/>
      <c r="M1031" s="43"/>
      <c r="N1031" s="43"/>
      <c r="O1031" s="43"/>
      <c r="P1031" s="43"/>
      <c r="Q1031" s="43"/>
      <c r="R1031" s="43"/>
      <c r="S1031" s="43"/>
      <c r="T1031" s="43"/>
      <c r="U1031" s="43"/>
      <c r="V1031" s="43"/>
      <c r="W1031" s="43"/>
      <c r="X1031" s="43"/>
      <c r="Y1031" s="43"/>
      <c r="Z1031" s="43"/>
    </row>
    <row r="1032">
      <c r="A1032" s="43"/>
      <c r="B1032" s="70"/>
      <c r="C1032" s="43"/>
      <c r="D1032" s="43"/>
      <c r="E1032" s="43"/>
      <c r="F1032" s="43"/>
      <c r="G1032" s="43"/>
      <c r="H1032" s="43"/>
      <c r="I1032" s="43"/>
      <c r="J1032" s="43"/>
      <c r="K1032" s="43"/>
      <c r="L1032" s="43"/>
      <c r="M1032" s="43"/>
      <c r="N1032" s="43"/>
      <c r="O1032" s="43"/>
      <c r="P1032" s="43"/>
      <c r="Q1032" s="43"/>
      <c r="R1032" s="43"/>
      <c r="S1032" s="43"/>
      <c r="T1032" s="43"/>
      <c r="U1032" s="43"/>
      <c r="V1032" s="43"/>
      <c r="W1032" s="43"/>
      <c r="X1032" s="43"/>
      <c r="Y1032" s="43"/>
      <c r="Z1032" s="43"/>
    </row>
    <row r="1033">
      <c r="A1033" s="43"/>
      <c r="B1033" s="70"/>
      <c r="C1033" s="43"/>
      <c r="D1033" s="43"/>
      <c r="E1033" s="43"/>
      <c r="F1033" s="43"/>
      <c r="G1033" s="43"/>
      <c r="H1033" s="43"/>
      <c r="I1033" s="43"/>
      <c r="J1033" s="43"/>
      <c r="K1033" s="43"/>
      <c r="L1033" s="43"/>
      <c r="M1033" s="43"/>
      <c r="N1033" s="43"/>
      <c r="O1033" s="43"/>
      <c r="P1033" s="43"/>
      <c r="Q1033" s="43"/>
      <c r="R1033" s="43"/>
      <c r="S1033" s="43"/>
      <c r="T1033" s="43"/>
      <c r="U1033" s="43"/>
      <c r="V1033" s="43"/>
      <c r="W1033" s="43"/>
      <c r="X1033" s="43"/>
      <c r="Y1033" s="43"/>
      <c r="Z1033" s="43"/>
    </row>
    <row r="1034">
      <c r="A1034" s="43"/>
      <c r="B1034" s="70"/>
      <c r="C1034" s="43"/>
      <c r="D1034" s="43"/>
      <c r="E1034" s="43"/>
      <c r="F1034" s="43"/>
      <c r="G1034" s="43"/>
      <c r="H1034" s="43"/>
      <c r="I1034" s="43"/>
      <c r="J1034" s="43"/>
      <c r="K1034" s="43"/>
      <c r="L1034" s="43"/>
      <c r="M1034" s="43"/>
      <c r="N1034" s="43"/>
      <c r="O1034" s="43"/>
      <c r="P1034" s="43"/>
      <c r="Q1034" s="43"/>
      <c r="R1034" s="43"/>
      <c r="S1034" s="43"/>
      <c r="T1034" s="43"/>
      <c r="U1034" s="43"/>
      <c r="V1034" s="43"/>
      <c r="W1034" s="43"/>
      <c r="X1034" s="43"/>
      <c r="Y1034" s="43"/>
      <c r="Z1034" s="43"/>
    </row>
    <row r="1035">
      <c r="A1035" s="43"/>
      <c r="B1035" s="70"/>
      <c r="C1035" s="43"/>
      <c r="D1035" s="43"/>
      <c r="E1035" s="43"/>
      <c r="F1035" s="43"/>
      <c r="G1035" s="43"/>
      <c r="H1035" s="43"/>
      <c r="I1035" s="43"/>
      <c r="J1035" s="43"/>
      <c r="K1035" s="43"/>
      <c r="L1035" s="43"/>
      <c r="M1035" s="43"/>
      <c r="N1035" s="43"/>
      <c r="O1035" s="43"/>
      <c r="P1035" s="43"/>
      <c r="Q1035" s="43"/>
      <c r="R1035" s="43"/>
      <c r="S1035" s="43"/>
      <c r="T1035" s="43"/>
      <c r="U1035" s="43"/>
      <c r="V1035" s="43"/>
      <c r="W1035" s="43"/>
      <c r="X1035" s="43"/>
      <c r="Y1035" s="43"/>
      <c r="Z1035" s="43"/>
    </row>
    <row r="1036">
      <c r="A1036" s="43"/>
      <c r="B1036" s="70"/>
      <c r="C1036" s="43"/>
      <c r="D1036" s="43"/>
      <c r="E1036" s="43"/>
      <c r="F1036" s="43"/>
      <c r="G1036" s="43"/>
      <c r="H1036" s="43"/>
      <c r="I1036" s="43"/>
      <c r="J1036" s="43"/>
      <c r="K1036" s="43"/>
      <c r="L1036" s="43"/>
      <c r="M1036" s="43"/>
      <c r="N1036" s="43"/>
      <c r="O1036" s="43"/>
      <c r="P1036" s="43"/>
      <c r="Q1036" s="43"/>
      <c r="R1036" s="43"/>
      <c r="S1036" s="43"/>
      <c r="T1036" s="43"/>
      <c r="U1036" s="43"/>
      <c r="V1036" s="43"/>
      <c r="W1036" s="43"/>
      <c r="X1036" s="43"/>
      <c r="Y1036" s="43"/>
      <c r="Z1036" s="43"/>
    </row>
    <row r="1037">
      <c r="A1037" s="43"/>
      <c r="B1037" s="70"/>
      <c r="C1037" s="43"/>
      <c r="D1037" s="43"/>
      <c r="E1037" s="43"/>
      <c r="F1037" s="43"/>
      <c r="G1037" s="43"/>
      <c r="H1037" s="43"/>
      <c r="I1037" s="43"/>
      <c r="J1037" s="43"/>
      <c r="K1037" s="43"/>
      <c r="L1037" s="43"/>
      <c r="M1037" s="43"/>
      <c r="N1037" s="43"/>
      <c r="O1037" s="43"/>
      <c r="P1037" s="43"/>
      <c r="Q1037" s="43"/>
      <c r="R1037" s="43"/>
      <c r="S1037" s="43"/>
      <c r="T1037" s="43"/>
      <c r="U1037" s="43"/>
      <c r="V1037" s="43"/>
      <c r="W1037" s="43"/>
      <c r="X1037" s="43"/>
      <c r="Y1037" s="43"/>
      <c r="Z1037" s="43"/>
    </row>
    <row r="1038">
      <c r="A1038" s="43"/>
      <c r="B1038" s="70"/>
      <c r="C1038" s="43"/>
      <c r="D1038" s="43"/>
      <c r="E1038" s="43"/>
      <c r="F1038" s="43"/>
      <c r="G1038" s="43"/>
      <c r="H1038" s="43"/>
      <c r="I1038" s="43"/>
      <c r="J1038" s="43"/>
      <c r="K1038" s="43"/>
      <c r="L1038" s="43"/>
      <c r="M1038" s="43"/>
      <c r="N1038" s="43"/>
      <c r="O1038" s="43"/>
      <c r="P1038" s="43"/>
      <c r="Q1038" s="43"/>
      <c r="R1038" s="43"/>
      <c r="S1038" s="43"/>
      <c r="T1038" s="43"/>
      <c r="U1038" s="43"/>
      <c r="V1038" s="43"/>
      <c r="W1038" s="43"/>
      <c r="X1038" s="43"/>
      <c r="Y1038" s="43"/>
      <c r="Z1038" s="43"/>
    </row>
    <row r="1039">
      <c r="A1039" s="43"/>
      <c r="B1039" s="70"/>
      <c r="C1039" s="43"/>
      <c r="D1039" s="43"/>
      <c r="E1039" s="43"/>
      <c r="F1039" s="43"/>
      <c r="G1039" s="43"/>
      <c r="H1039" s="43"/>
      <c r="I1039" s="43"/>
      <c r="J1039" s="43"/>
      <c r="K1039" s="43"/>
      <c r="L1039" s="43"/>
      <c r="M1039" s="43"/>
      <c r="N1039" s="43"/>
      <c r="O1039" s="43"/>
      <c r="P1039" s="43"/>
      <c r="Q1039" s="43"/>
      <c r="R1039" s="43"/>
      <c r="S1039" s="43"/>
      <c r="T1039" s="43"/>
      <c r="U1039" s="43"/>
      <c r="V1039" s="43"/>
      <c r="W1039" s="43"/>
      <c r="X1039" s="43"/>
      <c r="Y1039" s="43"/>
      <c r="Z1039" s="43"/>
    </row>
    <row r="1040">
      <c r="A1040" s="43"/>
      <c r="B1040" s="70"/>
      <c r="C1040" s="43"/>
      <c r="D1040" s="43"/>
      <c r="E1040" s="43"/>
      <c r="F1040" s="43"/>
      <c r="G1040" s="43"/>
      <c r="H1040" s="43"/>
      <c r="I1040" s="43"/>
      <c r="J1040" s="43"/>
      <c r="K1040" s="43"/>
      <c r="L1040" s="43"/>
      <c r="M1040" s="43"/>
      <c r="N1040" s="43"/>
      <c r="O1040" s="43"/>
      <c r="P1040" s="43"/>
      <c r="Q1040" s="43"/>
      <c r="R1040" s="43"/>
      <c r="S1040" s="43"/>
      <c r="T1040" s="43"/>
      <c r="U1040" s="43"/>
      <c r="V1040" s="43"/>
      <c r="W1040" s="43"/>
      <c r="X1040" s="43"/>
      <c r="Y1040" s="43"/>
      <c r="Z1040" s="43"/>
    </row>
    <row r="1041">
      <c r="A1041" s="43"/>
      <c r="B1041" s="70"/>
      <c r="C1041" s="43"/>
      <c r="D1041" s="43"/>
      <c r="E1041" s="43"/>
      <c r="F1041" s="43"/>
      <c r="G1041" s="43"/>
      <c r="H1041" s="43"/>
      <c r="I1041" s="43"/>
      <c r="J1041" s="43"/>
      <c r="K1041" s="43"/>
      <c r="L1041" s="43"/>
      <c r="M1041" s="43"/>
      <c r="N1041" s="43"/>
      <c r="O1041" s="43"/>
      <c r="P1041" s="43"/>
      <c r="Q1041" s="43"/>
      <c r="R1041" s="43"/>
      <c r="S1041" s="43"/>
      <c r="T1041" s="43"/>
      <c r="U1041" s="43"/>
      <c r="V1041" s="43"/>
      <c r="W1041" s="43"/>
      <c r="X1041" s="43"/>
      <c r="Y1041" s="43"/>
      <c r="Z1041" s="43"/>
    </row>
    <row r="1042">
      <c r="A1042" s="43"/>
      <c r="B1042" s="70"/>
      <c r="C1042" s="43"/>
      <c r="D1042" s="43"/>
      <c r="E1042" s="43"/>
      <c r="F1042" s="43"/>
      <c r="G1042" s="43"/>
      <c r="H1042" s="43"/>
      <c r="I1042" s="43"/>
      <c r="J1042" s="43"/>
      <c r="K1042" s="43"/>
      <c r="L1042" s="43"/>
      <c r="M1042" s="43"/>
      <c r="N1042" s="43"/>
      <c r="O1042" s="43"/>
      <c r="P1042" s="43"/>
      <c r="Q1042" s="43"/>
      <c r="R1042" s="43"/>
      <c r="S1042" s="43"/>
      <c r="T1042" s="43"/>
      <c r="U1042" s="43"/>
      <c r="V1042" s="43"/>
      <c r="W1042" s="43"/>
      <c r="X1042" s="43"/>
      <c r="Y1042" s="43"/>
      <c r="Z1042" s="43"/>
    </row>
  </sheetData>
  <drawing r:id="rId1"/>
</worksheet>
</file>