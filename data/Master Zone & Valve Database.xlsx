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Valve Sheet" sheetId="2" r:id="rId6"/>
    <sheet state="visible" name="Zone Sheet" sheetId="3" r:id="rId7"/>
  </sheets>
  <definedNames/>
  <calcPr/>
</workbook>
</file>

<file path=xl/sharedStrings.xml><?xml version="1.0" encoding="utf-8"?>
<sst xmlns="http://schemas.openxmlformats.org/spreadsheetml/2006/main" count="2592" uniqueCount="402">
  <si>
    <t>Go to CCCP - Installation</t>
  </si>
  <si>
    <t>Zone &amp; Lot Lookup</t>
  </si>
  <si>
    <t>Valve Lookup</t>
  </si>
  <si>
    <t>enter zone:</t>
  </si>
  <si>
    <t>z3</t>
  </si>
  <si>
    <t>(Z0 - Z20)</t>
  </si>
  <si>
    <t>valve number:</t>
  </si>
  <si>
    <t>V8</t>
  </si>
  <si>
    <t>enter Lot #:</t>
  </si>
  <si>
    <t>Location:</t>
  </si>
  <si>
    <t>Zone</t>
  </si>
  <si>
    <t>Lot</t>
  </si>
  <si>
    <t>Valve</t>
  </si>
  <si>
    <t>Notes:</t>
  </si>
  <si>
    <t>Function:</t>
  </si>
  <si>
    <t>Zone:</t>
  </si>
  <si>
    <t>Lots:</t>
  </si>
  <si>
    <t>Location</t>
  </si>
  <si>
    <t>Location Notes</t>
  </si>
  <si>
    <t>Function</t>
  </si>
  <si>
    <t>V1</t>
  </si>
  <si>
    <t>23 feet from pedestal at berm by lot 207</t>
  </si>
  <si>
    <t>Residential Lot Shutoff</t>
  </si>
  <si>
    <t>V2</t>
  </si>
  <si>
    <t>6 feet west of hydrant</t>
  </si>
  <si>
    <t>V3</t>
  </si>
  <si>
    <t>2 1/2 feet behind lot sign</t>
  </si>
  <si>
    <t>V4</t>
  </si>
  <si>
    <t>5 1/2 feet from left rear corner of shed</t>
  </si>
  <si>
    <t>V5</t>
  </si>
  <si>
    <t>7 feet from left hand front corner of shed</t>
  </si>
  <si>
    <t>V6</t>
  </si>
  <si>
    <t>at base of berm 25 feet from drain</t>
  </si>
  <si>
    <t>Infrastructure / special function valve</t>
  </si>
  <si>
    <t>V7</t>
  </si>
  <si>
    <t>5 feet directly behind fire hydrant</t>
  </si>
  <si>
    <t>10 feet from left front corner of shed</t>
  </si>
  <si>
    <t>V9</t>
  </si>
  <si>
    <t>9 feet from transformer</t>
  </si>
  <si>
    <t>V10</t>
  </si>
  <si>
    <t>20 1/2 feet from front left hand corner of shed</t>
  </si>
  <si>
    <t>V11</t>
  </si>
  <si>
    <t>Pond 2</t>
  </si>
  <si>
    <t>west side, lowest corner, 10' in front of road sign</t>
  </si>
  <si>
    <t>V12</t>
  </si>
  <si>
    <t>southerly of pair, at upper edge lot</t>
  </si>
  <si>
    <t>V13</t>
  </si>
  <si>
    <t>north</t>
  </si>
  <si>
    <t>V14</t>
  </si>
  <si>
    <t>8 feet from front left hand corner of shed</t>
  </si>
  <si>
    <t>V15</t>
  </si>
  <si>
    <t>13 1/2 feet west of lot sign</t>
  </si>
  <si>
    <t>V16</t>
  </si>
  <si>
    <t>7 feet back from front left hand corner of shed</t>
  </si>
  <si>
    <t>V17</t>
  </si>
  <si>
    <t>near lot sign, westerly of pair</t>
  </si>
  <si>
    <t>V18</t>
  </si>
  <si>
    <t>near lot sign, easterly of pair</t>
  </si>
  <si>
    <t>V19</t>
  </si>
  <si>
    <t>between lots 613 &amp; 614 at top edge of berm</t>
  </si>
  <si>
    <t>V20</t>
  </si>
  <si>
    <t>19' from rear right hand corner of shed</t>
  </si>
  <si>
    <t>V21</t>
  </si>
  <si>
    <t>11 feet south of phone box, for sprinkler system</t>
  </si>
  <si>
    <t>V22</t>
  </si>
  <si>
    <t>3 feet west of transformer</t>
  </si>
  <si>
    <t>V23</t>
  </si>
  <si>
    <t>clubhouse</t>
  </si>
  <si>
    <t>near trash bins &amp; fire hydrant</t>
  </si>
  <si>
    <t>V24</t>
  </si>
  <si>
    <t>V25</t>
  </si>
  <si>
    <t>43' from easern railing, 45'4" from western railing</t>
  </si>
  <si>
    <t>V26</t>
  </si>
  <si>
    <t>4 1/2 east of transformer</t>
  </si>
  <si>
    <t>V27</t>
  </si>
  <si>
    <t>7 1/2 feet east of pedestal</t>
  </si>
  <si>
    <t>V28</t>
  </si>
  <si>
    <t>east side, south of path</t>
  </si>
  <si>
    <t>V29</t>
  </si>
  <si>
    <t>Tank 4</t>
  </si>
  <si>
    <t>at foot of hill near lot 614</t>
  </si>
  <si>
    <t>V30</t>
  </si>
  <si>
    <t>50' west near fence</t>
  </si>
  <si>
    <t>V31</t>
  </si>
  <si>
    <t>16 feet north of pedestal</t>
  </si>
  <si>
    <t>V32</t>
  </si>
  <si>
    <t>3 Tank Hill</t>
  </si>
  <si>
    <t>on edge of berm across from pump house, southerly</t>
  </si>
  <si>
    <t>Park Shutoff</t>
  </si>
  <si>
    <t>V33</t>
  </si>
  <si>
    <t>on edge of berm across from pump house</t>
  </si>
  <si>
    <t>V34</t>
  </si>
  <si>
    <t>by hydrant</t>
  </si>
  <si>
    <t>between valves 23 &amp; 24 by clubhouse hydrant</t>
  </si>
  <si>
    <t>Lot #</t>
  </si>
  <si>
    <t>Z0</t>
  </si>
  <si>
    <t>Club House</t>
  </si>
  <si>
    <t>Z1</t>
  </si>
  <si>
    <t>Ranch House</t>
  </si>
  <si>
    <t>Boondock</t>
  </si>
  <si>
    <t>003</t>
  </si>
  <si>
    <t>004</t>
  </si>
  <si>
    <t>Z2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</si>
  <si>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</si>
  <si>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</si>
  <si>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</si>
  <si>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</si>
  <si>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</si>
  <si>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</si>
  <si>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</si>
  <si>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</si>
  <si>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</si>
  <si>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</si>
  <si>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</si>
  <si>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115</t>
  </si>
  <si>
    <t>117</t>
  </si>
  <si>
    <t>Z3</t>
  </si>
  <si>
    <t>119</t>
  </si>
  <si>
    <t>121</t>
  </si>
  <si>
    <t>123</t>
  </si>
  <si>
    <t>Z4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</si>
  <si>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</si>
  <si>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</si>
  <si>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</si>
  <si>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</si>
  <si>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</si>
  <si>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</si>
  <si>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</si>
  <si>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</si>
  <si>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</si>
  <si>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</si>
  <si>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</si>
  <si>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</si>
  <si>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</si>
  <si>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</si>
  <si>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</si>
  <si>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</si>
  <si>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</si>
  <si>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</si>
  <si>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</si>
  <si>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</si>
  <si>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</si>
  <si>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</si>
  <si>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</si>
  <si>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</si>
  <si>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</si>
  <si>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</si>
  <si>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</si>
  <si>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</si>
  <si>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</si>
  <si>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</si>
  <si>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</si>
  <si>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Z5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</si>
  <si>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</si>
  <si>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</si>
  <si>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</si>
  <si>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</si>
  <si>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</si>
  <si>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</si>
  <si>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</si>
  <si>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</si>
  <si>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</si>
  <si>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</si>
  <si>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</si>
  <si>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</si>
  <si>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</si>
  <si>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Z6</t>
  </si>
  <si>
    <t>316</t>
  </si>
  <si>
    <t>317</t>
  </si>
  <si>
    <t>318</t>
  </si>
  <si>
    <t>319</t>
  </si>
  <si>
    <t>320</t>
  </si>
  <si>
    <t>321</t>
  </si>
  <si>
    <t>322</t>
  </si>
  <si>
    <t>323</t>
  </si>
  <si>
    <t>Z7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</si>
  <si>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</si>
  <si>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</si>
  <si>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</si>
  <si>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</si>
  <si>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</si>
  <si>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</si>
  <si>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</si>
  <si>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</si>
  <si>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</si>
  <si>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</si>
  <si>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</si>
  <si>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</si>
  <si>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</si>
  <si>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</si>
  <si>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</si>
  <si>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</si>
  <si>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418</t>
  </si>
  <si>
    <t>420</t>
  </si>
  <si>
    <t>422</t>
  </si>
  <si>
    <t>424</t>
  </si>
  <si>
    <t>426</t>
  </si>
  <si>
    <t>Z8</t>
  </si>
  <si>
    <t>417</t>
  </si>
  <si>
    <t>419</t>
  </si>
  <si>
    <t>421</t>
  </si>
  <si>
    <t>428</t>
  </si>
  <si>
    <t>429</t>
  </si>
  <si>
    <t>430</t>
  </si>
  <si>
    <t>431</t>
  </si>
  <si>
    <t>432</t>
  </si>
  <si>
    <t>434</t>
  </si>
  <si>
    <t>Z9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</si>
  <si>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</si>
  <si>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</si>
  <si>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</si>
  <si>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</si>
  <si>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</si>
  <si>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</si>
  <si>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</si>
  <si>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</si>
  <si>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</si>
  <si>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518</t>
  </si>
  <si>
    <t>519</t>
  </si>
  <si>
    <t>520</t>
  </si>
  <si>
    <t>521</t>
  </si>
  <si>
    <t>Z10</t>
  </si>
  <si>
    <t>502</t>
  </si>
  <si>
    <t>504</t>
  </si>
  <si>
    <t>506</t>
  </si>
  <si>
    <t>508</t>
  </si>
  <si>
    <t>510</t>
  </si>
  <si>
    <t>512</t>
  </si>
  <si>
    <t>514</t>
  </si>
  <si>
    <t>516</t>
  </si>
  <si>
    <t>Z11</t>
  </si>
  <si>
    <t>522</t>
  </si>
  <si>
    <t>523</t>
  </si>
  <si>
    <t>524</t>
  </si>
  <si>
    <t>525</t>
  </si>
  <si>
    <t>526</t>
  </si>
  <si>
    <t>527</t>
  </si>
  <si>
    <t>528</t>
  </si>
  <si>
    <t>529</t>
  </si>
  <si>
    <t>601</t>
  </si>
  <si>
    <t>602</t>
  </si>
  <si>
    <t>603</t>
  </si>
  <si>
    <t>604</t>
  </si>
  <si>
    <t>605</t>
  </si>
  <si>
    <t>700</t>
  </si>
  <si>
    <t>V7 (?)</t>
  </si>
  <si>
    <t>701</t>
  </si>
  <si>
    <t>703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</si>
  <si>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</si>
  <si>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</si>
  <si>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</si>
  <si>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</si>
  <si>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</si>
  <si>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</si>
  <si>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</si>
  <si>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</si>
  <si>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</si>
  <si>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715</t>
  </si>
  <si>
    <t>717</t>
  </si>
  <si>
    <t>719</t>
  </si>
  <si>
    <t>721</t>
  </si>
  <si>
    <t>723</t>
  </si>
  <si>
    <t>Z12</t>
  </si>
  <si>
    <t>530</t>
  </si>
  <si>
    <t>?</t>
  </si>
  <si>
    <t>531</t>
  </si>
  <si>
    <t>532</t>
  </si>
  <si>
    <t>729</t>
  </si>
  <si>
    <t>731</t>
  </si>
  <si>
    <t>733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</si>
  <si>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</si>
  <si>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</si>
  <si>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</si>
  <si>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</si>
  <si>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</si>
  <si>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</si>
  <si>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</si>
  <si>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</si>
  <si>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</si>
  <si>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</si>
  <si>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</si>
  <si>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</si>
  <si>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</si>
  <si>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</si>
  <si>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</si>
  <si>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751</t>
  </si>
  <si>
    <t>753</t>
  </si>
  <si>
    <t>754</t>
  </si>
  <si>
    <t>755</t>
  </si>
  <si>
    <t>812</t>
  </si>
  <si>
    <t>814</t>
  </si>
  <si>
    <t>816</t>
  </si>
  <si>
    <t>818</t>
  </si>
  <si>
    <t>819</t>
  </si>
  <si>
    <t>820</t>
  </si>
  <si>
    <t>821</t>
  </si>
  <si>
    <t>822</t>
  </si>
  <si>
    <t>Z13</t>
  </si>
  <si>
    <t>606</t>
  </si>
  <si>
    <t>607</t>
  </si>
  <si>
    <t>608</t>
  </si>
  <si>
    <t>609</t>
  </si>
  <si>
    <t>610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</si>
  <si>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</si>
  <si>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</si>
  <si>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</si>
  <si>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</si>
  <si>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</si>
  <si>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</si>
  <si>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</si>
  <si>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</si>
  <si>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</si>
  <si>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</si>
  <si>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</si>
  <si>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</si>
  <si>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</si>
  <si>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</si>
  <si>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</si>
  <si>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</si>
  <si>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</si>
  <si>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</si>
  <si>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</si>
  <si>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</si>
  <si>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</si>
  <si>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</si>
  <si>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</si>
  <si>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</si>
  <si>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</si>
  <si>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</si>
  <si>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664</t>
  </si>
  <si>
    <t>665</t>
  </si>
  <si>
    <t>666</t>
  </si>
  <si>
    <t>667</t>
  </si>
  <si>
    <t>668</t>
  </si>
  <si>
    <t>670</t>
  </si>
  <si>
    <t>672</t>
  </si>
  <si>
    <t>674</t>
  </si>
  <si>
    <t>676</t>
  </si>
  <si>
    <t>Z14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</si>
  <si>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</si>
  <si>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</si>
  <si>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</si>
  <si>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</si>
  <si>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</si>
  <si>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</si>
  <si>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</si>
  <si>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</si>
  <si>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</si>
  <si>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</si>
  <si>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</si>
  <si>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</si>
  <si>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</si>
  <si>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</si>
  <si>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</si>
  <si>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</si>
  <si>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</si>
  <si>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</si>
  <si>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</si>
  <si>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</si>
  <si>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</si>
  <si>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634</t>
  </si>
  <si>
    <t>636</t>
  </si>
  <si>
    <t>Z15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</si>
  <si>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</si>
  <si>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</si>
  <si>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</si>
  <si>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</si>
  <si>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</si>
  <si>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</si>
  <si>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</si>
  <si>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</si>
  <si>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</si>
  <si>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</si>
  <si>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</si>
  <si>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813</t>
  </si>
  <si>
    <t>815</t>
  </si>
  <si>
    <t>Z16</t>
  </si>
  <si>
    <t>Z17</t>
  </si>
  <si>
    <t>902</t>
  </si>
  <si>
    <t>904</t>
  </si>
  <si>
    <t>905</t>
  </si>
  <si>
    <t>906</t>
  </si>
  <si>
    <t>907</t>
  </si>
  <si>
    <t>908</t>
  </si>
  <si>
    <t>909</t>
  </si>
  <si>
    <t>910</t>
  </si>
  <si>
    <t>912</t>
  </si>
  <si>
    <t>914</t>
  </si>
  <si>
    <t>915</t>
  </si>
  <si>
    <t>916</t>
  </si>
  <si>
    <t>917</t>
  </si>
  <si>
    <t>918</t>
  </si>
  <si>
    <t>920</t>
  </si>
  <si>
    <t>922</t>
  </si>
  <si>
    <t>923</t>
  </si>
  <si>
    <t>924</t>
  </si>
  <si>
    <t>925</t>
  </si>
  <si>
    <t>926</t>
  </si>
  <si>
    <t>927</t>
  </si>
  <si>
    <t>929</t>
  </si>
  <si>
    <t>930</t>
  </si>
  <si>
    <t>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</si>
</sst>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color rgb="FFD9D9D9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76A5AF"/>
        <bgColor rgb="FF76A5A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6D5C0"/>
        <bgColor rgb="FFC6D5C0"/>
      </patternFill>
    </fill>
    <fill>
      <patternFill patternType="solid">
        <fgColor rgb="FFC8D6D9"/>
        <bgColor rgb="FFC8D6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right" readingOrder="0"/>
    </xf>
    <xf borderId="0" fillId="5" fontId="2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6" fontId="3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8" fontId="3" numFmtId="0" xfId="0" applyAlignment="1" applyFill="1" applyFont="1">
      <alignment horizontal="right" readingOrder="0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2" numFmtId="0" xfId="0" applyAlignment="1" applyFill="1" applyFont="1">
      <alignment horizontal="left"/>
    </xf>
    <xf borderId="0" fillId="4" fontId="3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13" fontId="3" numFmtId="0" xfId="0" applyAlignment="1" applyFill="1" applyFont="1">
      <alignment readingOrder="0"/>
    </xf>
    <xf borderId="0" fillId="14" fontId="2" numFmtId="0" xfId="0" applyFill="1" applyFont="1"/>
    <xf borderId="0" fillId="5" fontId="2" numFmtId="0" xfId="0" applyFont="1"/>
    <xf borderId="0" fillId="9" fontId="2" numFmtId="0" xfId="0" applyFont="1"/>
    <xf borderId="0" fillId="7" fontId="2" numFmtId="0" xfId="0" applyFont="1"/>
    <xf borderId="0" fillId="15" fontId="3" numFmtId="0" xfId="0" applyAlignment="1" applyFill="1" applyFont="1">
      <alignment readingOrder="0"/>
    </xf>
    <xf borderId="0" fillId="16" fontId="5" numFmtId="0" xfId="0" applyFill="1" applyFont="1"/>
    <xf borderId="0" fillId="2" fontId="3" numFmtId="0" xfId="0" applyAlignment="1" applyFont="1">
      <alignment readingOrder="0"/>
    </xf>
    <xf borderId="0" fillId="17" fontId="2" numFmtId="0" xfId="0" applyFill="1" applyFont="1"/>
    <xf borderId="0" fillId="17" fontId="6" numFmtId="0" xfId="0" applyFont="1"/>
    <xf borderId="0" fillId="5" fontId="6" numFmtId="0" xfId="0" applyFont="1"/>
    <xf borderId="0" fillId="8" fontId="3" numFmtId="0" xfId="0" applyAlignment="1" applyFont="1">
      <alignment readingOrder="0"/>
    </xf>
    <xf borderId="0" fillId="18" fontId="2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19" fontId="2" numFmtId="0" xfId="0" applyAlignment="1" applyFill="1" applyFont="1">
      <alignment readingOrder="0"/>
    </xf>
    <xf borderId="0" fillId="19" fontId="2" numFmtId="49" xfId="0" applyAlignment="1" applyFont="1" applyNumberFormat="1">
      <alignment readingOrder="0"/>
    </xf>
    <xf borderId="0" fillId="19" fontId="2" numFmtId="0" xfId="0" applyFont="1"/>
    <xf borderId="0" fillId="14" fontId="2" numFmtId="0" xfId="0" applyAlignment="1" applyFont="1">
      <alignment readingOrder="0"/>
    </xf>
    <xf borderId="0" fillId="14" fontId="2" numFmtId="49" xfId="0" applyAlignment="1" applyFont="1" applyNumberFormat="1">
      <alignment readingOrder="0"/>
    </xf>
    <xf borderId="0" fillId="11" fontId="7" numFmtId="0" xfId="0" applyAlignment="1" applyFont="1">
      <alignment vertical="bottom"/>
    </xf>
    <xf borderId="0" fillId="11" fontId="7" numFmtId="49" xfId="0" applyAlignment="1" applyFont="1" applyNumberFormat="1">
      <alignment readingOrder="0" vertical="bottom"/>
    </xf>
    <xf borderId="0" fillId="11" fontId="2" numFmtId="0" xfId="0" applyFont="1"/>
    <xf borderId="0" fillId="11" fontId="2" numFmtId="0" xfId="0" applyAlignment="1" applyFont="1">
      <alignment readingOrder="0"/>
    </xf>
    <xf borderId="0" fillId="11" fontId="2" numFmtId="49" xfId="0" applyAlignment="1" applyFont="1" applyNumberFormat="1">
      <alignment readingOrder="0"/>
    </xf>
    <xf borderId="0" fillId="5" fontId="2" numFmtId="49" xfId="0" applyAlignment="1" applyFont="1" applyNumberFormat="1">
      <alignment readingOrder="0"/>
    </xf>
    <xf borderId="0" fillId="9" fontId="2" numFmtId="49" xfId="0" applyAlignment="1" applyFont="1" applyNumberFormat="1">
      <alignment readingOrder="0"/>
    </xf>
    <xf borderId="0" fillId="20" fontId="2" numFmtId="0" xfId="0" applyAlignment="1" applyFill="1" applyFont="1">
      <alignment readingOrder="0"/>
    </xf>
    <xf borderId="0" fillId="20" fontId="2" numFmtId="49" xfId="0" applyAlignment="1" applyFont="1" applyNumberFormat="1">
      <alignment readingOrder="0"/>
    </xf>
    <xf borderId="0" fillId="21" fontId="2" numFmtId="0" xfId="0" applyAlignment="1" applyFill="1" applyFont="1">
      <alignment readingOrder="0"/>
    </xf>
    <xf borderId="0" fillId="21" fontId="2" numFmtId="49" xfId="0" applyAlignment="1" applyFont="1" applyNumberFormat="1">
      <alignment readingOrder="0"/>
    </xf>
    <xf borderId="0" fillId="22" fontId="2" numFmtId="0" xfId="0" applyAlignment="1" applyFill="1" applyFont="1">
      <alignment readingOrder="0"/>
    </xf>
    <xf borderId="0" fillId="22" fontId="2" numFmtId="49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49" xfId="0" applyAlignment="1" applyFont="1" applyNumberFormat="1">
      <alignment readingOrder="0"/>
    </xf>
    <xf borderId="0" fillId="23" fontId="2" numFmtId="0" xfId="0" applyAlignment="1" applyFill="1" applyFont="1">
      <alignment readingOrder="0"/>
    </xf>
    <xf borderId="0" fillId="23" fontId="7" numFmtId="49" xfId="0" applyAlignment="1" applyFont="1" applyNumberFormat="1">
      <alignment vertical="bottom"/>
    </xf>
    <xf borderId="0" fillId="23" fontId="7" numFmtId="0" xfId="0" applyAlignment="1" applyFont="1">
      <alignment readingOrder="0" vertical="bottom"/>
    </xf>
    <xf borderId="0" fillId="19" fontId="7" numFmtId="0" xfId="0" applyAlignment="1" applyFont="1">
      <alignment vertical="bottom"/>
    </xf>
    <xf borderId="0" fillId="23" fontId="2" numFmtId="49" xfId="0" applyAlignment="1" applyFont="1" applyNumberFormat="1">
      <alignment readingOrder="0"/>
    </xf>
    <xf borderId="0" fillId="7" fontId="2" numFmtId="49" xfId="0" applyAlignment="1" applyFont="1" applyNumberFormat="1">
      <alignment readingOrder="0"/>
    </xf>
    <xf borderId="0" fillId="5" fontId="7" numFmtId="0" xfId="0" applyAlignment="1" applyFont="1">
      <alignment vertical="bottom"/>
    </xf>
    <xf borderId="0" fillId="9" fontId="7" numFmtId="49" xfId="0" applyAlignment="1" applyFont="1" applyNumberFormat="1">
      <alignment vertical="bottom"/>
    </xf>
    <xf borderId="0" fillId="9" fontId="7" numFmtId="0" xfId="0" applyAlignment="1" applyFont="1">
      <alignment vertical="bottom"/>
    </xf>
    <xf borderId="0" fillId="19" fontId="2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Valve 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0</xdr:row>
      <xdr:rowOff>57150</xdr:rowOff>
    </xdr:from>
    <xdr:ext cx="5848350" cy="419100"/>
    <xdr:grpSp>
      <xdr:nvGrpSpPr>
        <xdr:cNvPr id="2" name="Shape 2" title="Drawing"/>
        <xdr:cNvGrpSpPr/>
      </xdr:nvGrpSpPr>
      <xdr:grpSpPr>
        <a:xfrm>
          <a:off x="391850" y="157525"/>
          <a:ext cx="5831625" cy="400200"/>
          <a:chOff x="391850" y="157525"/>
          <a:chExt cx="5831625" cy="400200"/>
        </a:xfrm>
      </xdr:grpSpPr>
      <xdr:sp>
        <xdr:nvSpPr>
          <xdr:cNvPr id="3" name="Shape 3"/>
          <xdr:cNvSpPr/>
        </xdr:nvSpPr>
        <xdr:spPr>
          <a:xfrm>
            <a:off x="391850" y="213775"/>
            <a:ext cx="1140600" cy="287700"/>
          </a:xfrm>
          <a:prstGeom prst="roundRect">
            <a:avLst>
              <a:gd fmla="val 16667" name="adj"/>
            </a:avLst>
          </a:prstGeom>
          <a:solidFill>
            <a:srgbClr val="98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510875" y="157525"/>
            <a:ext cx="5712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  <a:latin typeface="Impact"/>
                <a:ea typeface="Impact"/>
                <a:cs typeface="Impact"/>
                <a:sym typeface="Impact"/>
              </a:rPr>
              <a:t>R  E  S  E  T</a:t>
            </a:r>
            <a:endParaRPr b="1" sz="1400">
              <a:solidFill>
                <a:srgbClr val="FFFFFF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X1000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Valve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paQD2pN36FM45oEkbQVESRdT1jPy4UDFiOcmdc0Izh4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  <c r="G1" s="2"/>
    </row>
    <row r="2">
      <c r="A2" s="2"/>
      <c r="B2" s="2"/>
      <c r="F2" s="2"/>
      <c r="G2" s="2"/>
    </row>
    <row r="3">
      <c r="A3" s="3" t="s">
        <v>1</v>
      </c>
      <c r="F3" s="4" t="s">
        <v>2</v>
      </c>
    </row>
    <row r="4">
      <c r="A4" s="5" t="s">
        <v>3</v>
      </c>
      <c r="B4" s="6" t="s">
        <v>4</v>
      </c>
      <c r="C4" s="7" t="s">
        <v>5</v>
      </c>
      <c r="F4" s="8" t="s">
        <v>6</v>
      </c>
      <c r="G4" s="9" t="s">
        <v>7</v>
      </c>
      <c r="H4" s="10" t="s">
        <v>7</v>
      </c>
    </row>
    <row r="5">
      <c r="A5" s="11" t="s">
        <v>8</v>
      </c>
      <c r="B5" s="12"/>
    </row>
    <row r="6">
      <c r="F6" s="13" t="s">
        <v>9</v>
      </c>
      <c r="G6" s="14">
        <f t="array" ref="G6">IFERROR(
  INDEX('Valve Sheet'!B:B, MATCH($G$4, 'Valve Sheet'!A:A, 0)),
  ""
)
</f>
        <v>201</v>
      </c>
    </row>
    <row r="7">
      <c r="A7" s="15" t="s">
        <v>10</v>
      </c>
      <c r="B7" s="16" t="s">
        <v>11</v>
      </c>
      <c r="C7" s="17" t="s">
        <v>12</v>
      </c>
      <c r="D7" s="18"/>
      <c r="F7" s="19" t="s">
        <v>13</v>
      </c>
      <c r="G7" s="20" t="str">
        <f t="array" ref="G7">IFERROR(
  INDEX('Valve Sheet'!C:C, MATCH($G$4, 'Valve Sheet'!A:A, 0)),
  ""
)
</f>
        <v>10 feet from left front corner of shed</v>
      </c>
    </row>
    <row r="8">
      <c r="A8" s="21" t="str">
        <f>IFERROR(__xludf.DUMMYFUNCTION("IF(B4&lt;&gt;"""",
   IFERROR(
      FILTER('Zone Sheet'!A:C, TRIM(TO_TEXT('Zone Sheet'!A:A))=TRIM(TO_TEXT(B4))),
   ""Zone Not Found""),
IF(B5&lt;&gt;"""",
   IFERROR(
      FILTER(
         'Zone Sheet'!A:C,
         TRIM(TO_TEXT('Zone Sheet'!A:A)) =
         TRIM("&amp;"TO_TEXT(
            XLOOKUP(
               TRIM(TO_TEXT(B5)),
               TRIM(TO_TEXT('Zone Sheet'!B:B)),
               'Zone Sheet'!A:A
            )
         ))
      ),
   ""Lot Not Found""),
""""))"),"Z3")</f>
        <v>Z3</v>
      </c>
      <c r="B8" s="22" t="str">
        <f>IFERROR(__xludf.DUMMYFUNCTION("""COMPUTED_VALUE"""),"119")</f>
        <v>119</v>
      </c>
      <c r="C8" s="23" t="str">
        <f>IFERROR(__xludf.DUMMYFUNCTION("""COMPUTED_VALUE"""),"V1")</f>
        <v>V1</v>
      </c>
      <c r="F8" s="24" t="s">
        <v>14</v>
      </c>
      <c r="G8" s="25" t="str">
        <f t="array" ref="G8">IFERROR(
  INDEX('Valve Sheet'!D:D, MATCH($G$4, 'Valve Sheet'!A:A, 0)),
  ""
)
</f>
        <v>Residential Lot Shutoff</v>
      </c>
    </row>
    <row r="9">
      <c r="A9" s="21" t="str">
        <f>IFERROR(__xludf.DUMMYFUNCTION("""COMPUTED_VALUE"""),"Z3")</f>
        <v>Z3</v>
      </c>
      <c r="B9" s="22" t="str">
        <f>IFERROR(__xludf.DUMMYFUNCTION("""COMPUTED_VALUE"""),"119")</f>
        <v>119</v>
      </c>
      <c r="C9" s="23" t="str">
        <f>IFERROR(__xludf.DUMMYFUNCTION("""COMPUTED_VALUE"""),"V2")</f>
        <v>V2</v>
      </c>
      <c r="F9" s="26" t="s">
        <v>15</v>
      </c>
      <c r="G9" s="21" t="str">
        <f>IFERROR(__xludf.DUMMYFUNCTION("TRANSPOSE(
  UNIQUE(
    FILTER('Zone Sheet'!A:A,'Zone Sheet'!C:C=G4)
  )
)"),"Z2")</f>
        <v>Z2</v>
      </c>
      <c r="H9" s="27" t="str">
        <f>IFERROR(__xludf.DUMMYFUNCTION("""COMPUTED_VALUE"""),"Z4")</f>
        <v>Z4</v>
      </c>
      <c r="I9" s="21"/>
      <c r="J9" s="28"/>
      <c r="K9" s="29"/>
      <c r="L9" s="28"/>
    </row>
    <row r="10">
      <c r="A10" s="21" t="str">
        <f>IFERROR(__xludf.DUMMYFUNCTION("""COMPUTED_VALUE"""),"Z3")</f>
        <v>Z3</v>
      </c>
      <c r="B10" s="22" t="str">
        <f>IFERROR(__xludf.DUMMYFUNCTION("""COMPUTED_VALUE"""),"119")</f>
        <v>119</v>
      </c>
      <c r="C10" s="23" t="str">
        <f>IFERROR(__xludf.DUMMYFUNCTION("""COMPUTED_VALUE"""),"V3")</f>
        <v>V3</v>
      </c>
    </row>
    <row r="11">
      <c r="A11" s="21" t="str">
        <f>IFERROR(__xludf.DUMMYFUNCTION("""COMPUTED_VALUE"""),"Z3")</f>
        <v>Z3</v>
      </c>
      <c r="B11" s="22" t="str">
        <f>IFERROR(__xludf.DUMMYFUNCTION("""COMPUTED_VALUE"""),"121")</f>
        <v>121</v>
      </c>
      <c r="C11" s="23" t="str">
        <f>IFERROR(__xludf.DUMMYFUNCTION("""COMPUTED_VALUE"""),"V1")</f>
        <v>V1</v>
      </c>
      <c r="F11" s="30" t="s">
        <v>16</v>
      </c>
      <c r="G11" s="22" t="str">
        <f>IFERROR(__xludf.DUMMYFUNCTION("IF(G$9="""","""",
   IFERROR(
      FILTER(
         'Zone Sheet'!B:B,
         'Zone Sheet'!C:C = UPPER($G$4),
         'Zone Sheet'!A:A = G$9
      ),
   """")
)
"),"101")</f>
        <v>101</v>
      </c>
      <c r="H11" s="31" t="str">
        <f>IFERROR(__xludf.DUMMYFUNCTION("IF(H$9="""","""",
   IFERROR(
      FILTER(
         'Zone Sheet'!B:B,
         'Zone Sheet'!C:C = UPPER($G$4),
         'Zone Sheet'!A:A = H$9
      ),
   """")
)
"),"201")</f>
        <v>201</v>
      </c>
      <c r="I11" s="22" t="str">
        <f>IFERROR(__xludf.DUMMYFUNCTION("IF(I$9="""","""",
   IFERROR(
      FILTER(
         'Zone Sheet'!B:B,
         'Zone Sheet'!C:C = UPPER($G$4),
         'Zone Sheet'!A:A = I$9
      ),
   """")
)
"),"")</f>
        <v/>
      </c>
      <c r="J11" s="31" t="str">
        <f>IFERROR(__xludf.DUMMYFUNCTION("IF(J$9="""","""",
   IFERROR(
      FILTER(
         'Zone Sheet'!B:B,
         'Zone Sheet'!C:C=UPPER($G$4),
         'Zone Sheet'!A:A=J$9
      ),
   """")
)
"),"")</f>
        <v/>
      </c>
      <c r="K11" s="22" t="str">
        <f>IFERROR(__xludf.DUMMYFUNCTION("IF(K$9="""","""",
   IFERROR(
      FILTER(
         'Zone Sheet'!B:B,
         'Zone Sheet'!C:C=UPPER($G$4),
         'Zone Sheet'!A:A=K$9
      ),
   """")
)
"),"")</f>
        <v/>
      </c>
      <c r="L11" s="31" t="str">
        <f>IFERROR(__xludf.DUMMYFUNCTION("IF(L$9="""","""",
   IFERROR(
      FILTER(
         'Zone Sheet'!B:B,
         'Zone Sheet'!C:C=UPPER($G$4),
         'Zone Sheet'!A:A=L$9
      ),
   """")
)
"),"")</f>
        <v/>
      </c>
    </row>
    <row r="12">
      <c r="A12" s="21" t="str">
        <f>IFERROR(__xludf.DUMMYFUNCTION("""COMPUTED_VALUE"""),"Z3")</f>
        <v>Z3</v>
      </c>
      <c r="B12" s="22" t="str">
        <f>IFERROR(__xludf.DUMMYFUNCTION("""COMPUTED_VALUE"""),"121")</f>
        <v>121</v>
      </c>
      <c r="C12" s="23" t="str">
        <f>IFERROR(__xludf.DUMMYFUNCTION("""COMPUTED_VALUE"""),"V2")</f>
        <v>V2</v>
      </c>
      <c r="G12" s="22" t="str">
        <f>IFERROR(__xludf.DUMMYFUNCTION("""COMPUTED_VALUE"""),"103")</f>
        <v>103</v>
      </c>
      <c r="H12" s="31" t="str">
        <f>IFERROR(__xludf.DUMMYFUNCTION("""COMPUTED_VALUE"""),"202")</f>
        <v>202</v>
      </c>
      <c r="I12" s="22"/>
      <c r="J12" s="31"/>
      <c r="K12" s="22"/>
      <c r="L12" s="31"/>
    </row>
    <row r="13">
      <c r="A13" s="21" t="str">
        <f>IFERROR(__xludf.DUMMYFUNCTION("""COMPUTED_VALUE"""),"Z3")</f>
        <v>Z3</v>
      </c>
      <c r="B13" s="22" t="str">
        <f>IFERROR(__xludf.DUMMYFUNCTION("""COMPUTED_VALUE"""),"121")</f>
        <v>121</v>
      </c>
      <c r="C13" s="23" t="str">
        <f>IFERROR(__xludf.DUMMYFUNCTION("""COMPUTED_VALUE"""),"V3")</f>
        <v>V3</v>
      </c>
      <c r="G13" s="22" t="str">
        <f>IFERROR(__xludf.DUMMYFUNCTION("""COMPUTED_VALUE"""),"104")</f>
        <v>104</v>
      </c>
      <c r="H13" s="31" t="str">
        <f>IFERROR(__xludf.DUMMYFUNCTION("""COMPUTED_VALUE"""),"203")</f>
        <v>203</v>
      </c>
      <c r="I13" s="22"/>
      <c r="J13" s="31"/>
      <c r="K13" s="22"/>
      <c r="L13" s="31"/>
    </row>
    <row r="14">
      <c r="A14" s="21" t="str">
        <f>IFERROR(__xludf.DUMMYFUNCTION("""COMPUTED_VALUE"""),"Z3")</f>
        <v>Z3</v>
      </c>
      <c r="B14" s="22" t="str">
        <f>IFERROR(__xludf.DUMMYFUNCTION("""COMPUTED_VALUE"""),"123")</f>
        <v>123</v>
      </c>
      <c r="C14" s="23" t="str">
        <f>IFERROR(__xludf.DUMMYFUNCTION("""COMPUTED_VALUE"""),"V1")</f>
        <v>V1</v>
      </c>
      <c r="G14" s="22" t="str">
        <f>IFERROR(__xludf.DUMMYFUNCTION("""COMPUTED_VALUE"""),"105")</f>
        <v>105</v>
      </c>
      <c r="H14" s="31" t="str">
        <f>IFERROR(__xludf.DUMMYFUNCTION("""COMPUTED_VALUE"""),"204")</f>
        <v>204</v>
      </c>
      <c r="I14" s="22"/>
      <c r="J14" s="31"/>
      <c r="K14" s="22"/>
      <c r="L14" s="31"/>
    </row>
    <row r="15">
      <c r="A15" s="21" t="str">
        <f>IFERROR(__xludf.DUMMYFUNCTION("""COMPUTED_VALUE"""),"Z3")</f>
        <v>Z3</v>
      </c>
      <c r="B15" s="22" t="str">
        <f>IFERROR(__xludf.DUMMYFUNCTION("""COMPUTED_VALUE"""),"123")</f>
        <v>123</v>
      </c>
      <c r="C15" s="23" t="str">
        <f>IFERROR(__xludf.DUMMYFUNCTION("""COMPUTED_VALUE"""),"V2")</f>
        <v>V2</v>
      </c>
      <c r="G15" s="22" t="str">
        <f>IFERROR(__xludf.DUMMYFUNCTION("""COMPUTED_VALUE"""),"106")</f>
        <v>106</v>
      </c>
      <c r="H15" s="31" t="str">
        <f>IFERROR(__xludf.DUMMYFUNCTION("""COMPUTED_VALUE"""),"205")</f>
        <v>205</v>
      </c>
      <c r="I15" s="22"/>
      <c r="J15" s="31"/>
      <c r="K15" s="22"/>
      <c r="L15" s="31"/>
    </row>
    <row r="16">
      <c r="A16" s="21" t="str">
        <f>IFERROR(__xludf.DUMMYFUNCTION("""COMPUTED_VALUE"""),"Z3")</f>
        <v>Z3</v>
      </c>
      <c r="B16" s="22" t="str">
        <f>IFERROR(__xludf.DUMMYFUNCTION("""COMPUTED_VALUE"""),"123")</f>
        <v>123</v>
      </c>
      <c r="C16" s="23" t="str">
        <f>IFERROR(__xludf.DUMMYFUNCTION("""COMPUTED_VALUE"""),"V3")</f>
        <v>V3</v>
      </c>
      <c r="G16" s="22" t="str">
        <f>IFERROR(__xludf.DUMMYFUNCTION("""COMPUTED_VALUE"""),"107")</f>
        <v>107</v>
      </c>
      <c r="H16" s="31" t="str">
        <f>IFERROR(__xludf.DUMMYFUNCTION("""COMPUTED_VALUE"""),"206")</f>
        <v>206</v>
      </c>
      <c r="I16" s="22"/>
      <c r="J16" s="31"/>
      <c r="K16" s="22"/>
      <c r="L16" s="31"/>
    </row>
    <row r="17">
      <c r="A17" s="21"/>
      <c r="B17" s="22"/>
      <c r="C17" s="23"/>
      <c r="G17" s="22" t="str">
        <f>IFERROR(__xludf.DUMMYFUNCTION("""COMPUTED_VALUE"""),"108")</f>
        <v>108</v>
      </c>
      <c r="H17" s="31" t="str">
        <f>IFERROR(__xludf.DUMMYFUNCTION("""COMPUTED_VALUE"""),"207")</f>
        <v>207</v>
      </c>
      <c r="I17" s="22"/>
      <c r="J17" s="31"/>
      <c r="K17" s="22"/>
      <c r="L17" s="31"/>
    </row>
    <row r="18">
      <c r="A18" s="21"/>
      <c r="B18" s="22"/>
      <c r="C18" s="23"/>
      <c r="G18" s="22" t="str">
        <f>IFERROR(__xludf.DUMMYFUNCTION("""COMPUTED_VALUE"""),"109")</f>
        <v>109</v>
      </c>
      <c r="H18" s="31" t="str">
        <f>IFERROR(__xludf.DUMMYFUNCTION("""COMPUTED_VALUE"""),"208")</f>
        <v>208</v>
      </c>
      <c r="I18" s="22"/>
      <c r="J18" s="31"/>
      <c r="K18" s="22"/>
      <c r="L18" s="31"/>
    </row>
    <row r="19">
      <c r="A19" s="21"/>
      <c r="B19" s="22"/>
      <c r="C19" s="23"/>
      <c r="G19" s="22" t="str">
        <f>IFERROR(__xludf.DUMMYFUNCTION("""COMPUTED_VALUE"""),"110")</f>
        <v>110</v>
      </c>
      <c r="H19" s="31" t="str">
        <f>IFERROR(__xludf.DUMMYFUNCTION("""COMPUTED_VALUE"""),"209")</f>
        <v>209</v>
      </c>
      <c r="I19" s="22"/>
      <c r="J19" s="31"/>
      <c r="K19" s="22"/>
      <c r="L19" s="31"/>
    </row>
    <row r="20">
      <c r="A20" s="21"/>
      <c r="B20" s="22"/>
      <c r="C20" s="23"/>
      <c r="G20" s="22" t="str">
        <f>IFERROR(__xludf.DUMMYFUNCTION("""COMPUTED_VALUE"""),"111")</f>
        <v>111</v>
      </c>
      <c r="H20" s="31" t="str">
        <f>IFERROR(__xludf.DUMMYFUNCTION("""COMPUTED_VALUE"""),"210")</f>
        <v>210</v>
      </c>
      <c r="I20" s="22"/>
      <c r="J20" s="31"/>
      <c r="K20" s="22"/>
      <c r="L20" s="31"/>
    </row>
    <row r="21">
      <c r="A21" s="21"/>
      <c r="B21" s="22"/>
      <c r="C21" s="23"/>
      <c r="G21" s="22" t="str">
        <f>IFERROR(__xludf.DUMMYFUNCTION("""COMPUTED_VALUE"""),"113")</f>
        <v>113</v>
      </c>
      <c r="H21" s="31" t="str">
        <f>IFERROR(__xludf.DUMMYFUNCTION("""COMPUTED_VALUE"""),"211")</f>
        <v>211</v>
      </c>
      <c r="I21" s="22"/>
      <c r="J21" s="31"/>
      <c r="K21" s="22"/>
      <c r="L21" s="31"/>
    </row>
    <row r="22">
      <c r="A22" s="21"/>
      <c r="B22" s="22"/>
      <c r="C22" s="23"/>
      <c r="G22" s="22" t="str">
        <f>IFERROR(__xludf.DUMMYFUNCTION("""COMPUTED_VALUE"""),"115")</f>
        <v>115</v>
      </c>
      <c r="H22" s="31" t="str">
        <f>IFERROR(__xludf.DUMMYFUNCTION("""COMPUTED_VALUE"""),"212")</f>
        <v>212</v>
      </c>
      <c r="I22" s="22"/>
      <c r="J22" s="31"/>
      <c r="K22" s="22"/>
      <c r="L22" s="31"/>
    </row>
    <row r="23">
      <c r="A23" s="21"/>
      <c r="B23" s="22"/>
      <c r="C23" s="23"/>
      <c r="G23" s="22" t="str">
        <f>IFERROR(__xludf.DUMMYFUNCTION("""COMPUTED_VALUE"""),"117")</f>
        <v>117</v>
      </c>
      <c r="H23" s="31" t="str">
        <f>IFERROR(__xludf.DUMMYFUNCTION("""COMPUTED_VALUE"""),"213")</f>
        <v>213</v>
      </c>
      <c r="I23" s="22"/>
      <c r="J23" s="31"/>
      <c r="K23" s="22"/>
      <c r="L23" s="31"/>
    </row>
    <row r="24">
      <c r="A24" s="21"/>
      <c r="B24" s="22"/>
      <c r="C24" s="23"/>
      <c r="G24" s="22"/>
      <c r="H24" s="31" t="str">
        <f>IFERROR(__xludf.DUMMYFUNCTION("""COMPUTED_VALUE"""),"214")</f>
        <v>214</v>
      </c>
      <c r="I24" s="22"/>
      <c r="J24" s="31"/>
      <c r="K24" s="22"/>
      <c r="L24" s="31"/>
    </row>
    <row r="25">
      <c r="A25" s="21"/>
      <c r="B25" s="22"/>
      <c r="C25" s="23"/>
      <c r="G25" s="22"/>
      <c r="H25" s="31" t="str">
        <f>IFERROR(__xludf.DUMMYFUNCTION("""COMPUTED_VALUE"""),"215")</f>
        <v>215</v>
      </c>
      <c r="I25" s="22"/>
      <c r="J25" s="31"/>
      <c r="K25" s="22"/>
      <c r="L25" s="31"/>
    </row>
    <row r="26">
      <c r="A26" s="21"/>
      <c r="B26" s="22"/>
      <c r="C26" s="23"/>
      <c r="G26" s="22"/>
      <c r="H26" s="31" t="str">
        <f>IFERROR(__xludf.DUMMYFUNCTION("""COMPUTED_VALUE"""),"216")</f>
        <v>216</v>
      </c>
      <c r="I26" s="22"/>
      <c r="J26" s="31"/>
      <c r="K26" s="22"/>
      <c r="L26" s="31"/>
    </row>
    <row r="27">
      <c r="A27" s="21"/>
      <c r="B27" s="22"/>
      <c r="C27" s="23"/>
      <c r="G27" s="22"/>
      <c r="H27" s="31" t="str">
        <f>IFERROR(__xludf.DUMMYFUNCTION("""COMPUTED_VALUE"""),"217")</f>
        <v>217</v>
      </c>
      <c r="I27" s="22"/>
      <c r="J27" s="31"/>
      <c r="K27" s="22"/>
      <c r="L27" s="31"/>
    </row>
    <row r="28">
      <c r="A28" s="21"/>
      <c r="B28" s="22"/>
      <c r="C28" s="23"/>
      <c r="G28" s="22"/>
      <c r="H28" s="31" t="str">
        <f>IFERROR(__xludf.DUMMYFUNCTION("""COMPUTED_VALUE"""),"218")</f>
        <v>218</v>
      </c>
      <c r="I28" s="22"/>
      <c r="J28" s="31"/>
      <c r="K28" s="22"/>
      <c r="L28" s="31"/>
    </row>
    <row r="29">
      <c r="A29" s="21"/>
      <c r="B29" s="22"/>
      <c r="C29" s="23"/>
      <c r="G29" s="22"/>
      <c r="H29" s="31" t="str">
        <f>IFERROR(__xludf.DUMMYFUNCTION("""COMPUTED_VALUE"""),"219")</f>
        <v>219</v>
      </c>
      <c r="I29" s="22"/>
      <c r="J29" s="31"/>
      <c r="K29" s="22"/>
      <c r="L29" s="31"/>
    </row>
    <row r="30">
      <c r="A30" s="21"/>
      <c r="B30" s="22"/>
      <c r="C30" s="23"/>
      <c r="G30" s="22"/>
      <c r="H30" s="31" t="str">
        <f>IFERROR(__xludf.DUMMYFUNCTION("""COMPUTED_VALUE"""),"220")</f>
        <v>220</v>
      </c>
      <c r="I30" s="22"/>
      <c r="J30" s="31"/>
      <c r="K30" s="22"/>
      <c r="L30" s="31"/>
    </row>
    <row r="31">
      <c r="A31" s="21"/>
      <c r="B31" s="22"/>
      <c r="C31" s="23"/>
      <c r="G31" s="22"/>
      <c r="H31" s="31" t="str">
        <f>IFERROR(__xludf.DUMMYFUNCTION("""COMPUTED_VALUE"""),"221")</f>
        <v>221</v>
      </c>
      <c r="I31" s="22"/>
      <c r="J31" s="31"/>
      <c r="K31" s="22"/>
      <c r="L31" s="31"/>
    </row>
    <row r="32">
      <c r="A32" s="21"/>
      <c r="B32" s="22"/>
      <c r="C32" s="23"/>
      <c r="G32" s="22"/>
      <c r="H32" s="31" t="str">
        <f>IFERROR(__xludf.DUMMYFUNCTION("""COMPUTED_VALUE"""),"222")</f>
        <v>222</v>
      </c>
      <c r="I32" s="22"/>
      <c r="J32" s="31"/>
      <c r="K32" s="22"/>
      <c r="L32" s="31"/>
    </row>
    <row r="33">
      <c r="A33" s="21"/>
      <c r="B33" s="22"/>
      <c r="C33" s="23"/>
      <c r="G33" s="22"/>
      <c r="H33" s="31" t="str">
        <f>IFERROR(__xludf.DUMMYFUNCTION("""COMPUTED_VALUE"""),"224")</f>
        <v>224</v>
      </c>
      <c r="I33" s="22"/>
      <c r="J33" s="31"/>
      <c r="K33" s="22"/>
      <c r="L33" s="31"/>
    </row>
    <row r="34">
      <c r="A34" s="21"/>
      <c r="B34" s="22"/>
      <c r="C34" s="23"/>
      <c r="G34" s="22"/>
      <c r="H34" s="31" t="str">
        <f>IFERROR(__xludf.DUMMYFUNCTION("""COMPUTED_VALUE"""),"225")</f>
        <v>225</v>
      </c>
      <c r="I34" s="22"/>
      <c r="J34" s="31"/>
      <c r="K34" s="22"/>
      <c r="L34" s="31"/>
    </row>
    <row r="35">
      <c r="A35" s="21"/>
      <c r="B35" s="22"/>
      <c r="C35" s="23"/>
      <c r="G35" s="22"/>
      <c r="H35" s="31" t="str">
        <f>IFERROR(__xludf.DUMMYFUNCTION("""COMPUTED_VALUE"""),"226")</f>
        <v>226</v>
      </c>
      <c r="I35" s="22"/>
      <c r="J35" s="31"/>
      <c r="K35" s="22"/>
      <c r="L35" s="31"/>
    </row>
    <row r="36">
      <c r="A36" s="21"/>
      <c r="B36" s="22"/>
      <c r="C36" s="23"/>
      <c r="G36" s="22"/>
      <c r="H36" s="31" t="str">
        <f>IFERROR(__xludf.DUMMYFUNCTION("""COMPUTED_VALUE"""),"227")</f>
        <v>227</v>
      </c>
      <c r="I36" s="22"/>
      <c r="J36" s="31"/>
      <c r="K36" s="22"/>
      <c r="L36" s="31"/>
    </row>
    <row r="37">
      <c r="A37" s="21"/>
      <c r="B37" s="22"/>
      <c r="C37" s="23"/>
      <c r="G37" s="22"/>
      <c r="H37" s="31" t="str">
        <f>IFERROR(__xludf.DUMMYFUNCTION("""COMPUTED_VALUE"""),"228")</f>
        <v>228</v>
      </c>
      <c r="I37" s="22"/>
      <c r="J37" s="31"/>
      <c r="K37" s="22"/>
      <c r="L37" s="31"/>
    </row>
    <row r="38">
      <c r="A38" s="21"/>
      <c r="B38" s="22"/>
      <c r="C38" s="23"/>
      <c r="G38" s="22"/>
      <c r="H38" s="31" t="str">
        <f>IFERROR(__xludf.DUMMYFUNCTION("""COMPUTED_VALUE"""),"229")</f>
        <v>229</v>
      </c>
      <c r="I38" s="22"/>
      <c r="J38" s="31"/>
      <c r="K38" s="22"/>
      <c r="L38" s="31"/>
    </row>
    <row r="39">
      <c r="A39" s="21"/>
      <c r="B39" s="22"/>
      <c r="C39" s="23"/>
      <c r="G39" s="22"/>
      <c r="H39" s="31" t="str">
        <f>IFERROR(__xludf.DUMMYFUNCTION("""COMPUTED_VALUE"""),"230")</f>
        <v>230</v>
      </c>
      <c r="I39" s="22"/>
      <c r="J39" s="31"/>
      <c r="K39" s="22"/>
      <c r="L39" s="31"/>
    </row>
    <row r="40">
      <c r="A40" s="21"/>
      <c r="B40" s="22"/>
      <c r="C40" s="23"/>
      <c r="G40" s="22"/>
      <c r="H40" s="31" t="str">
        <f>IFERROR(__xludf.DUMMYFUNCTION("""COMPUTED_VALUE"""),"231")</f>
        <v>231</v>
      </c>
      <c r="I40" s="22"/>
      <c r="J40" s="31"/>
      <c r="K40" s="22"/>
      <c r="L40" s="31"/>
    </row>
    <row r="41">
      <c r="A41" s="21"/>
      <c r="B41" s="22"/>
      <c r="C41" s="23"/>
      <c r="G41" s="22"/>
      <c r="H41" s="31" t="str">
        <f>IFERROR(__xludf.DUMMYFUNCTION("""COMPUTED_VALUE"""),"232")</f>
        <v>232</v>
      </c>
      <c r="I41" s="22"/>
      <c r="J41" s="31"/>
      <c r="K41" s="22"/>
      <c r="L41" s="31"/>
    </row>
    <row r="42">
      <c r="A42" s="21"/>
      <c r="B42" s="22"/>
      <c r="C42" s="23"/>
      <c r="G42" s="22"/>
      <c r="H42" s="31"/>
      <c r="I42" s="22"/>
      <c r="J42" s="31"/>
      <c r="K42" s="22"/>
      <c r="L42" s="31"/>
    </row>
    <row r="43">
      <c r="A43" s="21"/>
      <c r="B43" s="22"/>
      <c r="C43" s="23"/>
      <c r="G43" s="22"/>
      <c r="H43" s="31"/>
      <c r="I43" s="22"/>
      <c r="J43" s="31"/>
      <c r="K43" s="22"/>
      <c r="L43" s="31"/>
    </row>
    <row r="44">
      <c r="A44" s="21"/>
      <c r="B44" s="22"/>
      <c r="C44" s="23"/>
      <c r="G44" s="22"/>
      <c r="H44" s="31"/>
      <c r="I44" s="22"/>
      <c r="J44" s="31"/>
      <c r="K44" s="22"/>
      <c r="L44" s="31"/>
    </row>
    <row r="45">
      <c r="A45" s="21"/>
      <c r="B45" s="22"/>
      <c r="C45" s="23"/>
      <c r="G45" s="22"/>
      <c r="H45" s="31"/>
      <c r="I45" s="22"/>
      <c r="J45" s="31"/>
      <c r="K45" s="22"/>
      <c r="L45" s="31"/>
    </row>
    <row r="46">
      <c r="A46" s="21"/>
      <c r="B46" s="22"/>
      <c r="C46" s="23"/>
      <c r="G46" s="22"/>
      <c r="H46" s="31"/>
      <c r="I46" s="22"/>
      <c r="J46" s="31"/>
      <c r="K46" s="22"/>
      <c r="L46" s="31"/>
    </row>
    <row r="47">
      <c r="A47" s="21"/>
      <c r="B47" s="22"/>
      <c r="C47" s="23"/>
      <c r="G47" s="22"/>
      <c r="H47" s="31"/>
      <c r="I47" s="22"/>
      <c r="J47" s="31"/>
      <c r="K47" s="22"/>
      <c r="L47" s="31"/>
    </row>
    <row r="48">
      <c r="A48" s="21"/>
      <c r="B48" s="22"/>
      <c r="C48" s="23"/>
      <c r="G48" s="22"/>
      <c r="H48" s="31"/>
      <c r="I48" s="22"/>
      <c r="J48" s="31"/>
      <c r="K48" s="22"/>
      <c r="L48" s="31"/>
    </row>
    <row r="49">
      <c r="A49" s="21"/>
      <c r="B49" s="22"/>
      <c r="C49" s="23"/>
      <c r="G49" s="22"/>
      <c r="H49" s="31"/>
      <c r="I49" s="22"/>
      <c r="J49" s="31"/>
      <c r="K49" s="22"/>
      <c r="L49" s="31"/>
    </row>
    <row r="50">
      <c r="A50" s="21"/>
      <c r="B50" s="22"/>
      <c r="C50" s="23"/>
      <c r="G50" s="22"/>
      <c r="H50" s="31"/>
      <c r="I50" s="22"/>
      <c r="J50" s="31"/>
      <c r="K50" s="22"/>
      <c r="L50" s="31"/>
    </row>
    <row r="51">
      <c r="A51" s="21"/>
      <c r="B51" s="22"/>
      <c r="C51" s="23"/>
      <c r="G51" s="22"/>
      <c r="H51" s="31"/>
      <c r="I51" s="22"/>
      <c r="J51" s="31"/>
      <c r="K51" s="22"/>
      <c r="L51" s="31"/>
    </row>
    <row r="52">
      <c r="A52" s="21"/>
      <c r="B52" s="22"/>
      <c r="C52" s="23"/>
      <c r="G52" s="22"/>
      <c r="H52" s="31"/>
      <c r="I52" s="22"/>
      <c r="J52" s="31"/>
      <c r="K52" s="22"/>
      <c r="L52" s="31"/>
    </row>
    <row r="53">
      <c r="A53" s="21"/>
      <c r="B53" s="22"/>
      <c r="C53" s="23"/>
      <c r="G53" s="22"/>
      <c r="H53" s="31"/>
      <c r="I53" s="22"/>
      <c r="J53" s="31"/>
      <c r="K53" s="22"/>
      <c r="L53" s="31"/>
    </row>
    <row r="54">
      <c r="A54" s="21"/>
      <c r="B54" s="22"/>
      <c r="C54" s="23"/>
      <c r="G54" s="22"/>
      <c r="H54" s="31"/>
      <c r="I54" s="22"/>
      <c r="J54" s="31"/>
      <c r="K54" s="22"/>
      <c r="L54" s="31"/>
    </row>
    <row r="55">
      <c r="A55" s="21"/>
      <c r="B55" s="22"/>
      <c r="C55" s="23"/>
      <c r="G55" s="22"/>
      <c r="H55" s="31"/>
      <c r="I55" s="22"/>
      <c r="J55" s="31"/>
      <c r="K55" s="22"/>
      <c r="L55" s="31"/>
    </row>
    <row r="56">
      <c r="A56" s="21"/>
      <c r="B56" s="22"/>
      <c r="C56" s="23"/>
      <c r="G56" s="22"/>
      <c r="H56" s="31"/>
      <c r="I56" s="22"/>
      <c r="J56" s="31"/>
      <c r="K56" s="22"/>
      <c r="L56" s="31"/>
    </row>
    <row r="57">
      <c r="A57" s="21"/>
      <c r="B57" s="22"/>
      <c r="C57" s="23"/>
      <c r="G57" s="22"/>
      <c r="H57" s="31"/>
      <c r="I57" s="22"/>
      <c r="J57" s="31"/>
      <c r="K57" s="22"/>
      <c r="L57" s="31"/>
    </row>
    <row r="58">
      <c r="A58" s="21"/>
      <c r="B58" s="22"/>
      <c r="C58" s="23"/>
      <c r="G58" s="22"/>
      <c r="H58" s="31"/>
      <c r="I58" s="22"/>
      <c r="J58" s="31"/>
      <c r="K58" s="22"/>
      <c r="L58" s="31"/>
    </row>
    <row r="59">
      <c r="A59" s="21"/>
      <c r="B59" s="22"/>
      <c r="C59" s="23"/>
      <c r="G59" s="22"/>
      <c r="H59" s="31"/>
      <c r="I59" s="22"/>
      <c r="J59" s="31"/>
      <c r="K59" s="22"/>
      <c r="L59" s="31"/>
    </row>
    <row r="60">
      <c r="A60" s="21"/>
      <c r="B60" s="22"/>
      <c r="C60" s="23"/>
      <c r="G60" s="22"/>
      <c r="H60" s="31"/>
      <c r="I60" s="22"/>
      <c r="J60" s="31"/>
      <c r="K60" s="22"/>
      <c r="L60" s="31"/>
    </row>
    <row r="61">
      <c r="A61" s="21"/>
      <c r="B61" s="22"/>
      <c r="C61" s="23"/>
      <c r="G61" s="22"/>
      <c r="H61" s="31"/>
      <c r="I61" s="22"/>
      <c r="J61" s="31"/>
      <c r="K61" s="22"/>
      <c r="L61" s="31"/>
    </row>
    <row r="62">
      <c r="A62" s="21"/>
      <c r="B62" s="22"/>
      <c r="C62" s="23"/>
      <c r="G62" s="22"/>
      <c r="H62" s="31"/>
      <c r="I62" s="22"/>
      <c r="J62" s="31"/>
      <c r="K62" s="22"/>
      <c r="L62" s="31"/>
    </row>
    <row r="63">
      <c r="A63" s="21"/>
      <c r="B63" s="22"/>
      <c r="C63" s="23"/>
      <c r="G63" s="22"/>
      <c r="H63" s="31"/>
      <c r="I63" s="22"/>
      <c r="J63" s="31"/>
      <c r="K63" s="22"/>
      <c r="L63" s="31"/>
    </row>
    <row r="64">
      <c r="A64" s="21"/>
      <c r="B64" s="22"/>
      <c r="C64" s="23"/>
      <c r="G64" s="22"/>
      <c r="H64" s="31"/>
      <c r="I64" s="22"/>
      <c r="J64" s="31"/>
      <c r="K64" s="22"/>
      <c r="L64" s="31"/>
    </row>
    <row r="65">
      <c r="A65" s="21"/>
      <c r="B65" s="22"/>
      <c r="C65" s="23"/>
      <c r="G65" s="22"/>
      <c r="H65" s="31"/>
      <c r="I65" s="22"/>
      <c r="J65" s="31"/>
      <c r="K65" s="22"/>
      <c r="L65" s="31"/>
    </row>
    <row r="66">
      <c r="A66" s="21"/>
      <c r="B66" s="22"/>
      <c r="C66" s="23"/>
      <c r="G66" s="22"/>
      <c r="H66" s="31"/>
      <c r="I66" s="22"/>
      <c r="J66" s="31"/>
      <c r="K66" s="22"/>
      <c r="L66" s="31"/>
    </row>
    <row r="67">
      <c r="A67" s="21"/>
      <c r="B67" s="22"/>
      <c r="C67" s="23"/>
      <c r="G67" s="22"/>
      <c r="H67" s="31"/>
      <c r="I67" s="22"/>
      <c r="J67" s="31"/>
      <c r="K67" s="22"/>
      <c r="L67" s="31"/>
    </row>
    <row r="68">
      <c r="A68" s="21"/>
      <c r="B68" s="22"/>
      <c r="C68" s="23"/>
      <c r="G68" s="22"/>
      <c r="H68" s="31"/>
      <c r="I68" s="22"/>
      <c r="J68" s="31"/>
      <c r="K68" s="22"/>
      <c r="L68" s="31"/>
    </row>
    <row r="69">
      <c r="A69" s="21"/>
      <c r="B69" s="22"/>
      <c r="C69" s="23"/>
      <c r="G69" s="22"/>
      <c r="H69" s="31"/>
      <c r="I69" s="22"/>
      <c r="J69" s="31"/>
      <c r="K69" s="22"/>
      <c r="L69" s="31"/>
    </row>
    <row r="70">
      <c r="A70" s="21"/>
      <c r="B70" s="22"/>
      <c r="C70" s="23"/>
      <c r="G70" s="22"/>
      <c r="H70" s="31"/>
      <c r="I70" s="22"/>
      <c r="J70" s="31"/>
      <c r="K70" s="22"/>
      <c r="L70" s="31"/>
    </row>
    <row r="71">
      <c r="A71" s="21"/>
      <c r="B71" s="22"/>
      <c r="C71" s="23"/>
      <c r="G71" s="22"/>
      <c r="H71" s="31"/>
      <c r="I71" s="22"/>
      <c r="J71" s="31"/>
      <c r="K71" s="22"/>
      <c r="L71" s="31"/>
    </row>
    <row r="72">
      <c r="A72" s="21"/>
      <c r="B72" s="22"/>
      <c r="C72" s="23"/>
      <c r="G72" s="22"/>
      <c r="H72" s="31"/>
      <c r="I72" s="22"/>
      <c r="J72" s="31"/>
      <c r="K72" s="22"/>
      <c r="L72" s="31"/>
    </row>
    <row r="73">
      <c r="A73" s="21"/>
      <c r="B73" s="22"/>
      <c r="C73" s="23"/>
      <c r="G73" s="22"/>
      <c r="H73" s="31"/>
      <c r="I73" s="22"/>
      <c r="J73" s="31"/>
      <c r="K73" s="22"/>
      <c r="L73" s="31"/>
    </row>
    <row r="74">
      <c r="A74" s="21"/>
      <c r="B74" s="22"/>
      <c r="C74" s="23"/>
      <c r="G74" s="22"/>
      <c r="H74" s="31"/>
      <c r="I74" s="22"/>
      <c r="J74" s="31"/>
      <c r="K74" s="22"/>
      <c r="L74" s="31"/>
    </row>
    <row r="75">
      <c r="A75" s="21"/>
      <c r="B75" s="22"/>
      <c r="C75" s="23"/>
      <c r="G75" s="22"/>
      <c r="H75" s="31"/>
      <c r="I75" s="22"/>
      <c r="J75" s="31"/>
      <c r="K75" s="22"/>
      <c r="L75" s="31"/>
    </row>
    <row r="76">
      <c r="A76" s="21"/>
      <c r="B76" s="22"/>
      <c r="C76" s="23"/>
      <c r="G76" s="22"/>
      <c r="H76" s="31"/>
      <c r="I76" s="22"/>
      <c r="J76" s="31"/>
      <c r="K76" s="22"/>
      <c r="L76" s="31"/>
    </row>
    <row r="77">
      <c r="A77" s="21"/>
      <c r="B77" s="22"/>
      <c r="C77" s="23"/>
      <c r="G77" s="22"/>
      <c r="H77" s="31"/>
      <c r="I77" s="22"/>
      <c r="J77" s="31"/>
      <c r="K77" s="22"/>
      <c r="L77" s="31"/>
    </row>
    <row r="78">
      <c r="A78" s="21"/>
      <c r="B78" s="22"/>
      <c r="C78" s="23"/>
      <c r="G78" s="22"/>
      <c r="H78" s="31"/>
      <c r="I78" s="22"/>
      <c r="J78" s="31"/>
      <c r="K78" s="22"/>
      <c r="L78" s="31"/>
    </row>
    <row r="79">
      <c r="A79" s="21"/>
      <c r="B79" s="22"/>
      <c r="C79" s="23"/>
      <c r="G79" s="22"/>
      <c r="H79" s="31"/>
      <c r="I79" s="22"/>
      <c r="J79" s="31"/>
      <c r="K79" s="22"/>
      <c r="L79" s="31"/>
    </row>
    <row r="80">
      <c r="A80" s="21"/>
      <c r="B80" s="22"/>
      <c r="C80" s="23"/>
      <c r="G80" s="22"/>
      <c r="H80" s="31"/>
      <c r="I80" s="22"/>
      <c r="J80" s="31"/>
      <c r="K80" s="22"/>
      <c r="L80" s="31"/>
    </row>
    <row r="81">
      <c r="A81" s="21"/>
      <c r="B81" s="22"/>
      <c r="C81" s="23"/>
      <c r="G81" s="22"/>
      <c r="H81" s="31"/>
      <c r="I81" s="22"/>
      <c r="J81" s="31"/>
      <c r="K81" s="22"/>
      <c r="L81" s="31"/>
    </row>
    <row r="82">
      <c r="A82" s="21"/>
      <c r="B82" s="22"/>
      <c r="C82" s="23"/>
      <c r="G82" s="22"/>
      <c r="H82" s="31"/>
      <c r="I82" s="22"/>
      <c r="J82" s="31"/>
      <c r="K82" s="22"/>
      <c r="L82" s="31"/>
    </row>
    <row r="83">
      <c r="A83" s="21"/>
      <c r="B83" s="22"/>
      <c r="C83" s="23"/>
      <c r="G83" s="22"/>
      <c r="H83" s="31"/>
      <c r="I83" s="22"/>
      <c r="J83" s="31"/>
      <c r="K83" s="22"/>
      <c r="L83" s="31"/>
    </row>
    <row r="84">
      <c r="A84" s="21"/>
      <c r="B84" s="22"/>
      <c r="C84" s="23"/>
      <c r="G84" s="22"/>
      <c r="H84" s="31"/>
      <c r="I84" s="22"/>
      <c r="J84" s="31"/>
      <c r="K84" s="22"/>
      <c r="L84" s="31"/>
    </row>
    <row r="85">
      <c r="A85" s="21"/>
      <c r="B85" s="22"/>
      <c r="C85" s="23"/>
      <c r="G85" s="22"/>
      <c r="H85" s="31"/>
      <c r="I85" s="22"/>
      <c r="J85" s="31"/>
      <c r="K85" s="22"/>
      <c r="L85" s="31"/>
    </row>
    <row r="86">
      <c r="A86" s="21"/>
      <c r="B86" s="22"/>
      <c r="C86" s="23"/>
      <c r="G86" s="22"/>
      <c r="H86" s="31"/>
      <c r="I86" s="22"/>
      <c r="J86" s="31"/>
      <c r="K86" s="22"/>
      <c r="L86" s="31"/>
    </row>
    <row r="87">
      <c r="A87" s="21"/>
      <c r="B87" s="22"/>
      <c r="C87" s="23"/>
      <c r="G87" s="22"/>
      <c r="H87" s="31"/>
      <c r="I87" s="22"/>
      <c r="J87" s="31"/>
      <c r="K87" s="22"/>
      <c r="L87" s="31"/>
    </row>
    <row r="88">
      <c r="A88" s="21"/>
      <c r="B88" s="22"/>
      <c r="C88" s="23"/>
      <c r="G88" s="22"/>
      <c r="H88" s="31"/>
      <c r="I88" s="22"/>
      <c r="J88" s="31"/>
      <c r="K88" s="22"/>
      <c r="L88" s="31"/>
    </row>
    <row r="89">
      <c r="A89" s="21"/>
      <c r="B89" s="22"/>
      <c r="C89" s="23"/>
      <c r="G89" s="22"/>
      <c r="H89" s="31"/>
      <c r="I89" s="22"/>
      <c r="J89" s="31"/>
      <c r="K89" s="22"/>
      <c r="L89" s="31"/>
    </row>
    <row r="90">
      <c r="A90" s="21"/>
      <c r="B90" s="22"/>
      <c r="C90" s="23"/>
      <c r="G90" s="22"/>
      <c r="H90" s="31"/>
      <c r="I90" s="22"/>
      <c r="J90" s="31"/>
      <c r="K90" s="22"/>
      <c r="L90" s="31"/>
    </row>
    <row r="91">
      <c r="A91" s="21"/>
      <c r="B91" s="22"/>
      <c r="C91" s="23"/>
      <c r="G91" s="22"/>
      <c r="H91" s="31"/>
      <c r="I91" s="22"/>
      <c r="J91" s="31"/>
      <c r="K91" s="22"/>
      <c r="L91" s="31"/>
    </row>
    <row r="92">
      <c r="A92" s="21"/>
      <c r="B92" s="22"/>
      <c r="C92" s="23"/>
      <c r="G92" s="22"/>
      <c r="H92" s="31"/>
      <c r="I92" s="22"/>
      <c r="J92" s="31"/>
      <c r="K92" s="22"/>
      <c r="L92" s="31"/>
    </row>
    <row r="93">
      <c r="A93" s="21"/>
      <c r="B93" s="22"/>
      <c r="C93" s="23"/>
      <c r="G93" s="22"/>
      <c r="H93" s="31"/>
      <c r="I93" s="22"/>
      <c r="J93" s="31"/>
      <c r="K93" s="22"/>
      <c r="L93" s="31"/>
    </row>
    <row r="94">
      <c r="A94" s="21"/>
      <c r="B94" s="22"/>
      <c r="C94" s="23"/>
      <c r="G94" s="22"/>
      <c r="H94" s="31"/>
      <c r="I94" s="22"/>
      <c r="J94" s="31"/>
      <c r="K94" s="22"/>
      <c r="L94" s="31"/>
    </row>
    <row r="95">
      <c r="A95" s="21"/>
      <c r="B95" s="22"/>
      <c r="C95" s="23"/>
      <c r="G95" s="22"/>
      <c r="H95" s="31"/>
      <c r="I95" s="22"/>
      <c r="J95" s="31"/>
      <c r="K95" s="22"/>
      <c r="L95" s="31"/>
    </row>
    <row r="96">
      <c r="A96" s="21"/>
      <c r="B96" s="22"/>
      <c r="C96" s="23"/>
      <c r="G96" s="22"/>
      <c r="H96" s="31"/>
      <c r="I96" s="22"/>
      <c r="J96" s="31"/>
      <c r="K96" s="22"/>
      <c r="L96" s="31"/>
    </row>
    <row r="97">
      <c r="A97" s="21"/>
      <c r="B97" s="22"/>
      <c r="C97" s="23"/>
      <c r="G97" s="22"/>
      <c r="H97" s="31"/>
      <c r="I97" s="22"/>
      <c r="J97" s="31"/>
      <c r="K97" s="22"/>
      <c r="L97" s="31"/>
    </row>
    <row r="98">
      <c r="A98" s="21"/>
      <c r="B98" s="22"/>
      <c r="C98" s="23"/>
      <c r="G98" s="22"/>
      <c r="H98" s="31"/>
      <c r="I98" s="22"/>
      <c r="J98" s="31"/>
      <c r="K98" s="22"/>
      <c r="L98" s="31"/>
    </row>
    <row r="99">
      <c r="A99" s="21"/>
      <c r="B99" s="22"/>
      <c r="C99" s="23"/>
      <c r="G99" s="22"/>
      <c r="H99" s="31"/>
      <c r="I99" s="22"/>
      <c r="J99" s="31"/>
      <c r="K99" s="22"/>
      <c r="L99" s="31"/>
    </row>
    <row r="100">
      <c r="A100" s="21"/>
      <c r="B100" s="22"/>
      <c r="C100" s="23"/>
      <c r="G100" s="22"/>
      <c r="H100" s="31"/>
      <c r="I100" s="22"/>
      <c r="J100" s="31"/>
      <c r="K100" s="22"/>
      <c r="L100" s="31"/>
    </row>
    <row r="101">
      <c r="A101" s="21"/>
      <c r="B101" s="22"/>
      <c r="C101" s="23"/>
      <c r="G101" s="22"/>
      <c r="H101" s="31"/>
      <c r="I101" s="22"/>
      <c r="J101" s="31"/>
      <c r="K101" s="22"/>
      <c r="L101" s="31"/>
    </row>
    <row r="102">
      <c r="A102" s="21"/>
      <c r="B102" s="22"/>
      <c r="C102" s="23"/>
      <c r="G102" s="22"/>
      <c r="H102" s="31"/>
      <c r="I102" s="22"/>
      <c r="J102" s="31"/>
      <c r="K102" s="22"/>
      <c r="L102" s="31"/>
    </row>
    <row r="103">
      <c r="A103" s="21"/>
      <c r="B103" s="22"/>
      <c r="C103" s="23"/>
      <c r="G103" s="22"/>
      <c r="H103" s="31"/>
      <c r="I103" s="22"/>
      <c r="J103" s="31"/>
      <c r="K103" s="22"/>
      <c r="L103" s="31"/>
    </row>
    <row r="104">
      <c r="A104" s="21"/>
      <c r="B104" s="22"/>
      <c r="C104" s="23"/>
      <c r="G104" s="22"/>
      <c r="H104" s="31"/>
      <c r="I104" s="22"/>
      <c r="J104" s="31"/>
      <c r="K104" s="22"/>
      <c r="L104" s="31"/>
    </row>
    <row r="105">
      <c r="A105" s="21"/>
      <c r="B105" s="22"/>
      <c r="C105" s="23"/>
      <c r="G105" s="22"/>
      <c r="H105" s="31"/>
      <c r="I105" s="22"/>
      <c r="J105" s="31"/>
      <c r="K105" s="22"/>
      <c r="L105" s="31"/>
    </row>
    <row r="106">
      <c r="A106" s="21"/>
      <c r="B106" s="22"/>
      <c r="C106" s="23"/>
      <c r="G106" s="22"/>
      <c r="H106" s="31"/>
      <c r="I106" s="22"/>
      <c r="J106" s="31"/>
      <c r="K106" s="22"/>
      <c r="L106" s="31"/>
    </row>
    <row r="107">
      <c r="A107" s="21"/>
      <c r="B107" s="22"/>
      <c r="C107" s="23"/>
      <c r="G107" s="22"/>
      <c r="H107" s="31"/>
      <c r="I107" s="22"/>
      <c r="J107" s="31"/>
      <c r="K107" s="22"/>
      <c r="L107" s="31"/>
    </row>
    <row r="108">
      <c r="A108" s="21"/>
      <c r="B108" s="22"/>
      <c r="C108" s="23"/>
      <c r="G108" s="22"/>
      <c r="H108" s="31"/>
      <c r="I108" s="22"/>
      <c r="J108" s="31"/>
      <c r="K108" s="22"/>
      <c r="L108" s="31"/>
    </row>
    <row r="109">
      <c r="A109" s="21"/>
      <c r="B109" s="22"/>
      <c r="C109" s="23"/>
      <c r="G109" s="22"/>
      <c r="H109" s="31"/>
      <c r="I109" s="22"/>
      <c r="J109" s="31"/>
      <c r="K109" s="22"/>
      <c r="L109" s="31"/>
    </row>
    <row r="110">
      <c r="A110" s="21"/>
      <c r="B110" s="22"/>
      <c r="C110" s="23"/>
      <c r="G110" s="22"/>
      <c r="H110" s="31"/>
      <c r="I110" s="22"/>
      <c r="J110" s="31"/>
      <c r="K110" s="22"/>
      <c r="L110" s="31"/>
    </row>
    <row r="111">
      <c r="A111" s="21"/>
      <c r="B111" s="22"/>
      <c r="C111" s="23"/>
      <c r="G111" s="22"/>
      <c r="H111" s="31"/>
      <c r="I111" s="22"/>
      <c r="J111" s="31"/>
      <c r="K111" s="22"/>
      <c r="L111" s="31"/>
    </row>
    <row r="112">
      <c r="A112" s="21"/>
      <c r="B112" s="22"/>
      <c r="C112" s="23"/>
      <c r="G112" s="22"/>
      <c r="H112" s="31"/>
      <c r="I112" s="22"/>
      <c r="J112" s="31"/>
      <c r="K112" s="22"/>
      <c r="L112" s="31"/>
    </row>
    <row r="113">
      <c r="A113" s="21"/>
      <c r="B113" s="22"/>
      <c r="C113" s="23"/>
      <c r="G113" s="22"/>
      <c r="H113" s="31"/>
      <c r="I113" s="22"/>
      <c r="J113" s="31"/>
      <c r="K113" s="22"/>
      <c r="L113" s="31"/>
    </row>
    <row r="114">
      <c r="A114" s="21"/>
      <c r="B114" s="22"/>
      <c r="C114" s="23"/>
      <c r="G114" s="22"/>
      <c r="H114" s="31"/>
      <c r="I114" s="22"/>
      <c r="J114" s="31"/>
      <c r="K114" s="22"/>
      <c r="L114" s="31"/>
    </row>
    <row r="115">
      <c r="A115" s="21"/>
      <c r="B115" s="22"/>
      <c r="C115" s="23"/>
      <c r="G115" s="22"/>
      <c r="H115" s="31"/>
      <c r="I115" s="22"/>
      <c r="J115" s="31"/>
      <c r="K115" s="22"/>
      <c r="L115" s="31"/>
    </row>
    <row r="116">
      <c r="A116" s="21"/>
      <c r="B116" s="22"/>
      <c r="C116" s="23"/>
      <c r="G116" s="22"/>
      <c r="H116" s="31"/>
      <c r="I116" s="22"/>
      <c r="J116" s="31"/>
      <c r="K116" s="22"/>
      <c r="L116" s="31"/>
    </row>
    <row r="117">
      <c r="A117" s="21"/>
      <c r="B117" s="22"/>
      <c r="C117" s="23"/>
      <c r="G117" s="22"/>
      <c r="H117" s="31"/>
      <c r="I117" s="22"/>
      <c r="J117" s="31"/>
      <c r="K117" s="22"/>
      <c r="L117" s="31"/>
    </row>
    <row r="118">
      <c r="A118" s="21"/>
      <c r="B118" s="22"/>
      <c r="C118" s="23"/>
      <c r="G118" s="22"/>
      <c r="H118" s="31"/>
      <c r="I118" s="22"/>
      <c r="J118" s="31"/>
      <c r="K118" s="22"/>
      <c r="L118" s="31"/>
    </row>
    <row r="119">
      <c r="A119" s="21"/>
      <c r="B119" s="22"/>
      <c r="C119" s="23"/>
      <c r="G119" s="22"/>
      <c r="H119" s="31"/>
      <c r="I119" s="22"/>
      <c r="J119" s="31"/>
      <c r="K119" s="22"/>
      <c r="L119" s="31"/>
    </row>
    <row r="120">
      <c r="A120" s="21"/>
      <c r="B120" s="22"/>
      <c r="C120" s="23"/>
      <c r="G120" s="22"/>
      <c r="H120" s="31"/>
      <c r="I120" s="22"/>
      <c r="J120" s="31"/>
      <c r="K120" s="22"/>
      <c r="L120" s="31"/>
    </row>
    <row r="121">
      <c r="A121" s="21"/>
      <c r="B121" s="22"/>
      <c r="C121" s="23"/>
      <c r="G121" s="22"/>
      <c r="H121" s="31"/>
      <c r="I121" s="22"/>
      <c r="J121" s="31"/>
      <c r="K121" s="22"/>
      <c r="L121" s="31"/>
    </row>
    <row r="122">
      <c r="A122" s="21"/>
      <c r="B122" s="22"/>
      <c r="C122" s="23"/>
      <c r="G122" s="22"/>
      <c r="H122" s="31"/>
      <c r="I122" s="22"/>
      <c r="J122" s="31"/>
      <c r="K122" s="22"/>
      <c r="L122" s="31"/>
    </row>
    <row r="123">
      <c r="A123" s="21"/>
      <c r="B123" s="22"/>
      <c r="C123" s="23"/>
      <c r="G123" s="22"/>
      <c r="H123" s="31"/>
      <c r="I123" s="22"/>
      <c r="J123" s="31"/>
      <c r="K123" s="22"/>
      <c r="L123" s="31"/>
    </row>
    <row r="124">
      <c r="A124" s="21"/>
      <c r="B124" s="22"/>
      <c r="C124" s="23"/>
      <c r="G124" s="22"/>
      <c r="H124" s="31"/>
      <c r="I124" s="22"/>
      <c r="J124" s="31"/>
      <c r="K124" s="22"/>
      <c r="L124" s="31"/>
    </row>
    <row r="125">
      <c r="A125" s="21"/>
      <c r="B125" s="22"/>
      <c r="C125" s="23"/>
      <c r="G125" s="22"/>
      <c r="H125" s="31"/>
      <c r="I125" s="22"/>
      <c r="J125" s="31"/>
      <c r="K125" s="22"/>
      <c r="L125" s="31"/>
    </row>
    <row r="126">
      <c r="A126" s="21"/>
      <c r="B126" s="22"/>
      <c r="C126" s="23"/>
      <c r="G126" s="22"/>
      <c r="H126" s="31"/>
      <c r="I126" s="22"/>
      <c r="J126" s="31"/>
      <c r="K126" s="22"/>
      <c r="L126" s="31"/>
    </row>
    <row r="127">
      <c r="A127" s="21"/>
      <c r="B127" s="22"/>
      <c r="C127" s="23"/>
      <c r="G127" s="22"/>
      <c r="H127" s="31"/>
      <c r="I127" s="22"/>
      <c r="J127" s="31"/>
      <c r="K127" s="22"/>
      <c r="L127" s="31"/>
    </row>
    <row r="128">
      <c r="A128" s="21"/>
      <c r="B128" s="22"/>
      <c r="C128" s="23"/>
      <c r="G128" s="22"/>
      <c r="H128" s="31"/>
      <c r="I128" s="22"/>
      <c r="J128" s="31"/>
      <c r="K128" s="22"/>
      <c r="L128" s="31"/>
    </row>
    <row r="129">
      <c r="A129" s="21"/>
      <c r="B129" s="22"/>
      <c r="C129" s="23"/>
      <c r="G129" s="22"/>
      <c r="H129" s="31"/>
      <c r="I129" s="22"/>
      <c r="J129" s="31"/>
      <c r="K129" s="22"/>
      <c r="L129" s="31"/>
    </row>
    <row r="130">
      <c r="A130" s="21"/>
      <c r="B130" s="22"/>
      <c r="C130" s="23"/>
      <c r="G130" s="22"/>
      <c r="H130" s="31"/>
      <c r="I130" s="22"/>
      <c r="J130" s="31"/>
      <c r="K130" s="22"/>
      <c r="L130" s="31"/>
    </row>
    <row r="131">
      <c r="A131" s="21"/>
      <c r="B131" s="22"/>
      <c r="C131" s="23"/>
      <c r="G131" s="22"/>
      <c r="H131" s="31"/>
      <c r="I131" s="22"/>
      <c r="J131" s="31"/>
      <c r="K131" s="22"/>
      <c r="L131" s="31"/>
    </row>
    <row r="132">
      <c r="A132" s="21"/>
      <c r="B132" s="22"/>
      <c r="C132" s="23"/>
      <c r="G132" s="22"/>
      <c r="H132" s="31"/>
      <c r="I132" s="22"/>
      <c r="J132" s="31"/>
      <c r="K132" s="22"/>
      <c r="L132" s="31"/>
    </row>
    <row r="133">
      <c r="A133" s="21"/>
      <c r="B133" s="22"/>
      <c r="C133" s="23"/>
      <c r="G133" s="22"/>
      <c r="H133" s="31"/>
      <c r="I133" s="22"/>
      <c r="J133" s="31"/>
      <c r="K133" s="22"/>
      <c r="L133" s="31"/>
    </row>
    <row r="134">
      <c r="A134" s="21"/>
      <c r="B134" s="22"/>
      <c r="C134" s="23"/>
      <c r="G134" s="22"/>
      <c r="H134" s="31"/>
      <c r="I134" s="22"/>
      <c r="J134" s="31"/>
      <c r="K134" s="22"/>
      <c r="L134" s="31"/>
    </row>
    <row r="135">
      <c r="A135" s="21"/>
      <c r="B135" s="22"/>
      <c r="C135" s="23"/>
      <c r="G135" s="22"/>
      <c r="H135" s="31"/>
      <c r="I135" s="22"/>
      <c r="J135" s="31"/>
      <c r="K135" s="22"/>
      <c r="L135" s="31"/>
    </row>
    <row r="136">
      <c r="A136" s="21"/>
      <c r="B136" s="22"/>
      <c r="C136" s="23"/>
      <c r="G136" s="22"/>
      <c r="H136" s="31"/>
      <c r="I136" s="22"/>
      <c r="J136" s="31"/>
      <c r="K136" s="22"/>
      <c r="L136" s="31"/>
    </row>
    <row r="137">
      <c r="A137" s="21"/>
      <c r="B137" s="22"/>
      <c r="C137" s="23"/>
      <c r="G137" s="22"/>
      <c r="H137" s="31"/>
      <c r="I137" s="22"/>
      <c r="J137" s="31"/>
      <c r="K137" s="22"/>
      <c r="L137" s="31"/>
    </row>
    <row r="138">
      <c r="A138" s="21"/>
      <c r="B138" s="22"/>
      <c r="C138" s="23"/>
      <c r="G138" s="22"/>
      <c r="H138" s="31"/>
      <c r="I138" s="22"/>
      <c r="J138" s="31"/>
      <c r="K138" s="22"/>
      <c r="L138" s="31"/>
    </row>
    <row r="139">
      <c r="A139" s="21"/>
      <c r="B139" s="22"/>
      <c r="C139" s="23"/>
      <c r="G139" s="22"/>
      <c r="H139" s="31"/>
      <c r="I139" s="22"/>
      <c r="J139" s="31"/>
      <c r="K139" s="22"/>
      <c r="L139" s="31"/>
    </row>
    <row r="140">
      <c r="A140" s="21"/>
      <c r="B140" s="22"/>
      <c r="C140" s="23"/>
      <c r="G140" s="22"/>
      <c r="H140" s="31"/>
      <c r="I140" s="22"/>
      <c r="J140" s="31"/>
      <c r="K140" s="22"/>
      <c r="L140" s="31"/>
    </row>
    <row r="141">
      <c r="A141" s="21"/>
      <c r="B141" s="22"/>
      <c r="C141" s="23"/>
      <c r="G141" s="22"/>
      <c r="H141" s="31"/>
      <c r="I141" s="22"/>
      <c r="J141" s="31"/>
      <c r="K141" s="22"/>
      <c r="L141" s="31"/>
    </row>
    <row r="142">
      <c r="A142" s="21"/>
      <c r="B142" s="22"/>
      <c r="C142" s="23"/>
      <c r="G142" s="22"/>
      <c r="H142" s="31"/>
      <c r="I142" s="22"/>
      <c r="J142" s="31"/>
      <c r="K142" s="22"/>
      <c r="L142" s="31"/>
    </row>
    <row r="143">
      <c r="A143" s="21"/>
      <c r="B143" s="22"/>
      <c r="C143" s="23"/>
      <c r="G143" s="22"/>
      <c r="H143" s="31"/>
      <c r="I143" s="22"/>
      <c r="J143" s="31"/>
      <c r="K143" s="22"/>
      <c r="L143" s="31"/>
    </row>
    <row r="144">
      <c r="A144" s="21"/>
      <c r="B144" s="22"/>
      <c r="C144" s="23"/>
      <c r="G144" s="22"/>
      <c r="H144" s="31"/>
      <c r="I144" s="22"/>
      <c r="J144" s="31"/>
      <c r="K144" s="22"/>
      <c r="L144" s="31"/>
    </row>
    <row r="145">
      <c r="A145" s="21"/>
      <c r="B145" s="22"/>
      <c r="C145" s="23"/>
      <c r="G145" s="22"/>
      <c r="H145" s="31"/>
      <c r="I145" s="22"/>
      <c r="J145" s="31"/>
      <c r="K145" s="22"/>
      <c r="L145" s="31"/>
    </row>
    <row r="146">
      <c r="A146" s="21"/>
      <c r="B146" s="22"/>
      <c r="C146" s="23"/>
      <c r="G146" s="22"/>
      <c r="H146" s="31"/>
      <c r="I146" s="22"/>
      <c r="J146" s="31"/>
      <c r="K146" s="22"/>
      <c r="L146" s="31"/>
    </row>
    <row r="147">
      <c r="A147" s="21"/>
      <c r="B147" s="22"/>
      <c r="C147" s="23"/>
      <c r="G147" s="22"/>
      <c r="H147" s="31"/>
      <c r="I147" s="22"/>
      <c r="J147" s="31"/>
      <c r="K147" s="22"/>
      <c r="L147" s="31"/>
    </row>
    <row r="148">
      <c r="A148" s="21"/>
      <c r="B148" s="22"/>
      <c r="C148" s="23"/>
      <c r="G148" s="22"/>
      <c r="H148" s="31"/>
      <c r="I148" s="22"/>
      <c r="J148" s="31"/>
      <c r="K148" s="22"/>
      <c r="L148" s="31"/>
    </row>
    <row r="149">
      <c r="A149" s="21"/>
      <c r="B149" s="22"/>
      <c r="C149" s="23"/>
      <c r="G149" s="22"/>
      <c r="H149" s="31"/>
      <c r="I149" s="22"/>
      <c r="J149" s="31"/>
      <c r="K149" s="22"/>
      <c r="L149" s="31"/>
    </row>
    <row r="150">
      <c r="A150" s="21"/>
      <c r="B150" s="22"/>
      <c r="C150" s="23"/>
      <c r="G150" s="22"/>
      <c r="H150" s="31"/>
      <c r="I150" s="22"/>
      <c r="J150" s="31"/>
      <c r="K150" s="22"/>
      <c r="L150" s="31"/>
    </row>
  </sheetData>
  <mergeCells count="6">
    <mergeCell ref="A1:B1"/>
    <mergeCell ref="A3:B3"/>
    <mergeCell ref="F3:G3"/>
    <mergeCell ref="G6:L6"/>
    <mergeCell ref="G7:L7"/>
    <mergeCell ref="G8:L8"/>
  </mergeCells>
  <dataValidations>
    <dataValidation type="list" allowBlank="1" showErrorMessage="1" sqref="H4">
      <formula1>'Valve Sheet'!$A$2:$A1002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46.0"/>
    <col customWidth="1" min="4" max="4" width="34.5"/>
  </cols>
  <sheetData>
    <row r="1">
      <c r="A1" s="32" t="s">
        <v>12</v>
      </c>
      <c r="B1" s="33" t="s">
        <v>17</v>
      </c>
      <c r="C1" s="32" t="s">
        <v>18</v>
      </c>
      <c r="D1" s="32" t="s">
        <v>19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>
      <c r="A2" s="32" t="s">
        <v>20</v>
      </c>
      <c r="B2" s="33">
        <v>123.0</v>
      </c>
      <c r="C2" s="32" t="s">
        <v>21</v>
      </c>
      <c r="D2" s="35" t="s">
        <v>22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32" t="s">
        <v>23</v>
      </c>
      <c r="B3" s="33">
        <v>117.0</v>
      </c>
      <c r="C3" s="32" t="s">
        <v>24</v>
      </c>
      <c r="D3" s="35" t="s">
        <v>22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>
      <c r="A4" s="32" t="s">
        <v>25</v>
      </c>
      <c r="B4" s="33">
        <v>525.0</v>
      </c>
      <c r="C4" s="32" t="s">
        <v>26</v>
      </c>
      <c r="D4" s="35" t="s">
        <v>22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>
      <c r="A5" s="32" t="s">
        <v>27</v>
      </c>
      <c r="B5" s="33">
        <v>523.0</v>
      </c>
      <c r="C5" s="32" t="s">
        <v>28</v>
      </c>
      <c r="D5" s="35" t="s">
        <v>22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>
      <c r="A6" s="32" t="s">
        <v>29</v>
      </c>
      <c r="B6" s="33">
        <v>521.0</v>
      </c>
      <c r="C6" s="32" t="s">
        <v>30</v>
      </c>
      <c r="D6" s="35" t="s">
        <v>22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>
      <c r="A7" s="32" t="s">
        <v>31</v>
      </c>
      <c r="B7" s="33">
        <v>529.0</v>
      </c>
      <c r="C7" s="32" t="s">
        <v>32</v>
      </c>
      <c r="D7" s="36" t="s">
        <v>33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>
      <c r="A8" s="32" t="s">
        <v>34</v>
      </c>
      <c r="B8" s="37">
        <v>529.0</v>
      </c>
      <c r="C8" s="32" t="s">
        <v>35</v>
      </c>
      <c r="D8" s="35" t="s">
        <v>22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>
      <c r="A9" s="32" t="s">
        <v>7</v>
      </c>
      <c r="B9" s="37">
        <v>201.0</v>
      </c>
      <c r="C9" s="32" t="s">
        <v>36</v>
      </c>
      <c r="D9" s="35" t="s">
        <v>22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>
      <c r="A10" s="32" t="s">
        <v>37</v>
      </c>
      <c r="B10" s="37">
        <v>815.0</v>
      </c>
      <c r="C10" s="32" t="s">
        <v>38</v>
      </c>
      <c r="D10" s="35" t="s">
        <v>22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>
      <c r="A11" s="32" t="s">
        <v>39</v>
      </c>
      <c r="B11" s="37">
        <v>819.0</v>
      </c>
      <c r="C11" s="32" t="s">
        <v>40</v>
      </c>
      <c r="D11" s="35" t="s">
        <v>22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>
      <c r="A12" s="32" t="s">
        <v>41</v>
      </c>
      <c r="B12" s="37" t="s">
        <v>42</v>
      </c>
      <c r="C12" s="32" t="s">
        <v>43</v>
      </c>
      <c r="D12" s="35" t="s">
        <v>22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>
      <c r="A13" s="32" t="s">
        <v>44</v>
      </c>
      <c r="B13" s="37">
        <v>402.0</v>
      </c>
      <c r="C13" s="32" t="s">
        <v>45</v>
      </c>
      <c r="D13" s="35" t="s">
        <v>22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>
      <c r="A14" s="32" t="s">
        <v>46</v>
      </c>
      <c r="B14" s="37">
        <v>402.0</v>
      </c>
      <c r="C14" s="32" t="s">
        <v>47</v>
      </c>
      <c r="D14" s="35" t="s">
        <v>22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>
      <c r="A15" s="32" t="s">
        <v>48</v>
      </c>
      <c r="B15" s="37">
        <v>514.0</v>
      </c>
      <c r="C15" s="32" t="s">
        <v>49</v>
      </c>
      <c r="D15" s="35" t="s">
        <v>22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>
      <c r="A16" s="32" t="s">
        <v>50</v>
      </c>
      <c r="B16" s="37">
        <v>701.0</v>
      </c>
      <c r="C16" s="32" t="s">
        <v>51</v>
      </c>
      <c r="D16" s="35" t="s">
        <v>22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32" t="s">
        <v>52</v>
      </c>
      <c r="B17" s="37">
        <v>801.0</v>
      </c>
      <c r="C17" s="32" t="s">
        <v>53</v>
      </c>
      <c r="D17" s="35" t="s">
        <v>22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>
      <c r="A18" s="32" t="s">
        <v>54</v>
      </c>
      <c r="B18" s="37">
        <v>611.0</v>
      </c>
      <c r="C18" s="32" t="s">
        <v>55</v>
      </c>
      <c r="D18" s="35" t="s">
        <v>22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>
      <c r="A19" s="32" t="s">
        <v>56</v>
      </c>
      <c r="B19" s="37">
        <v>611.0</v>
      </c>
      <c r="C19" s="32" t="s">
        <v>57</v>
      </c>
      <c r="D19" s="36" t="s">
        <v>33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>
      <c r="A20" s="32" t="s">
        <v>58</v>
      </c>
      <c r="B20" s="37">
        <v>614.0</v>
      </c>
      <c r="C20" s="32" t="s">
        <v>59</v>
      </c>
      <c r="D20" s="35" t="s">
        <v>22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>
      <c r="A21" s="32" t="s">
        <v>60</v>
      </c>
      <c r="B21" s="37">
        <v>616.0</v>
      </c>
      <c r="C21" s="32" t="s">
        <v>61</v>
      </c>
      <c r="D21" s="35" t="s">
        <v>22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>
      <c r="A22" s="32" t="s">
        <v>62</v>
      </c>
      <c r="B22" s="37">
        <v>640.0</v>
      </c>
      <c r="C22" s="32" t="s">
        <v>63</v>
      </c>
      <c r="D22" s="36" t="s">
        <v>33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>
      <c r="A23" s="32" t="s">
        <v>64</v>
      </c>
      <c r="B23" s="37">
        <v>637.0</v>
      </c>
      <c r="C23" s="32" t="s">
        <v>65</v>
      </c>
      <c r="D23" s="35" t="s">
        <v>22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>
      <c r="A24" s="32" t="s">
        <v>66</v>
      </c>
      <c r="B24" s="37" t="s">
        <v>67</v>
      </c>
      <c r="C24" s="32" t="s">
        <v>68</v>
      </c>
      <c r="D24" s="35" t="s">
        <v>22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>
      <c r="A25" s="32" t="s">
        <v>69</v>
      </c>
      <c r="B25" s="37" t="s">
        <v>67</v>
      </c>
      <c r="C25" s="32" t="s">
        <v>68</v>
      </c>
      <c r="D25" s="36" t="s">
        <v>22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>
      <c r="A26" s="32" t="s">
        <v>70</v>
      </c>
      <c r="B26" s="37" t="s">
        <v>67</v>
      </c>
      <c r="C26" s="32" t="s">
        <v>71</v>
      </c>
      <c r="D26" s="36" t="s">
        <v>33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>
      <c r="A27" s="32" t="s">
        <v>72</v>
      </c>
      <c r="B27" s="37">
        <v>501.0</v>
      </c>
      <c r="C27" s="32" t="s">
        <v>73</v>
      </c>
      <c r="D27" s="35" t="s">
        <v>22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>
      <c r="A28" s="32" t="s">
        <v>74</v>
      </c>
      <c r="B28" s="37">
        <v>525.0</v>
      </c>
      <c r="C28" s="32" t="s">
        <v>75</v>
      </c>
      <c r="D28" s="36" t="s">
        <v>33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>
      <c r="A29" s="32" t="s">
        <v>76</v>
      </c>
      <c r="B29" s="37" t="s">
        <v>42</v>
      </c>
      <c r="C29" s="32" t="s">
        <v>77</v>
      </c>
      <c r="D29" s="35" t="s">
        <v>22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>
      <c r="A30" s="32" t="s">
        <v>78</v>
      </c>
      <c r="B30" s="37" t="s">
        <v>79</v>
      </c>
      <c r="C30" s="32" t="s">
        <v>80</v>
      </c>
      <c r="D30" s="35" t="s">
        <v>33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>
      <c r="A31" s="32" t="s">
        <v>81</v>
      </c>
      <c r="B31" s="37">
        <v>217.0</v>
      </c>
      <c r="C31" s="32" t="s">
        <v>82</v>
      </c>
      <c r="D31" s="35" t="s">
        <v>22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>
      <c r="A32" s="32" t="s">
        <v>83</v>
      </c>
      <c r="B32" s="37">
        <v>428.0</v>
      </c>
      <c r="C32" s="32" t="s">
        <v>84</v>
      </c>
      <c r="D32" s="35" t="s">
        <v>22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>
      <c r="A33" s="32" t="s">
        <v>85</v>
      </c>
      <c r="B33" s="38" t="s">
        <v>86</v>
      </c>
      <c r="C33" s="32" t="s">
        <v>87</v>
      </c>
      <c r="D33" s="35" t="s">
        <v>33</v>
      </c>
      <c r="E33" s="32" t="s">
        <v>88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>
      <c r="A34" s="32" t="s">
        <v>89</v>
      </c>
      <c r="B34" s="39" t="s">
        <v>86</v>
      </c>
      <c r="C34" s="32" t="s">
        <v>90</v>
      </c>
      <c r="D34" s="35" t="s">
        <v>33</v>
      </c>
      <c r="E34" s="32" t="s">
        <v>88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>
      <c r="A35" s="32" t="s">
        <v>91</v>
      </c>
      <c r="B35" s="33" t="s">
        <v>92</v>
      </c>
      <c r="C35" s="32" t="s">
        <v>93</v>
      </c>
      <c r="D35" s="35" t="s">
        <v>22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>
      <c r="A36" s="34"/>
      <c r="B36" s="40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>
      <c r="A37" s="34"/>
      <c r="B37" s="40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>
      <c r="A38" s="34"/>
      <c r="B38" s="4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>
      <c r="A39" s="34"/>
      <c r="B39" s="40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>
      <c r="A40" s="34"/>
      <c r="B40" s="40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>
      <c r="A41" s="34"/>
      <c r="B41" s="40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>
      <c r="A42" s="34"/>
      <c r="B42" s="40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>
      <c r="A43" s="34"/>
      <c r="B43" s="40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>
      <c r="A44" s="34"/>
      <c r="B44" s="40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>
      <c r="A45" s="34"/>
      <c r="B45" s="40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>
      <c r="A46" s="34"/>
      <c r="B46" s="40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>
      <c r="A47" s="34"/>
      <c r="B47" s="40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>
      <c r="A48" s="34"/>
      <c r="B48" s="40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>
      <c r="A49" s="34"/>
      <c r="B49" s="40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>
      <c r="A50" s="34"/>
      <c r="B50" s="40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>
      <c r="A51" s="34"/>
      <c r="B51" s="40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>
      <c r="A52" s="34"/>
      <c r="B52" s="40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>
      <c r="A53" s="34"/>
      <c r="B53" s="40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>
      <c r="A54" s="34"/>
      <c r="B54" s="40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>
      <c r="A55" s="34"/>
      <c r="B55" s="40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>
      <c r="A56" s="34"/>
      <c r="B56" s="40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>
      <c r="A57" s="34"/>
      <c r="B57" s="40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>
      <c r="A58" s="34"/>
      <c r="B58" s="40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>
      <c r="A59" s="34"/>
      <c r="B59" s="40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>
      <c r="A60" s="34"/>
      <c r="B60" s="40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>
      <c r="A61" s="34"/>
      <c r="B61" s="40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>
      <c r="A62" s="34"/>
      <c r="B62" s="40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>
      <c r="A63" s="34"/>
      <c r="B63" s="40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>
      <c r="A64" s="34"/>
      <c r="B64" s="40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>
      <c r="A65" s="34"/>
      <c r="B65" s="40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>
      <c r="A66" s="34"/>
      <c r="B66" s="40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>
      <c r="A67" s="34"/>
      <c r="B67" s="40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>
      <c r="A68" s="34"/>
      <c r="B68" s="40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>
      <c r="A69" s="34"/>
      <c r="B69" s="40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>
      <c r="A70" s="34"/>
      <c r="B70" s="40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>
      <c r="A71" s="34"/>
      <c r="B71" s="40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>
      <c r="A72" s="34"/>
      <c r="B72" s="40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>
      <c r="A73" s="34"/>
      <c r="B73" s="40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>
      <c r="A74" s="34"/>
      <c r="B74" s="40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>
      <c r="A75" s="34"/>
      <c r="B75" s="40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>
      <c r="A76" s="34"/>
      <c r="B76" s="40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>
      <c r="A77" s="34"/>
      <c r="B77" s="40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>
      <c r="A78" s="34"/>
      <c r="B78" s="40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>
      <c r="A79" s="34"/>
      <c r="B79" s="40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>
      <c r="A80" s="34"/>
      <c r="B80" s="40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>
      <c r="A81" s="34"/>
      <c r="B81" s="40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>
      <c r="A82" s="34"/>
      <c r="B82" s="40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>
      <c r="A83" s="34"/>
      <c r="B83" s="40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>
      <c r="A84" s="34"/>
      <c r="B84" s="40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>
      <c r="A85" s="34"/>
      <c r="B85" s="40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>
      <c r="A86" s="34"/>
      <c r="B86" s="40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>
      <c r="A87" s="34"/>
      <c r="B87" s="40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>
      <c r="A88" s="34"/>
      <c r="B88" s="40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>
      <c r="A89" s="34"/>
      <c r="B89" s="40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>
      <c r="A90" s="34"/>
      <c r="B90" s="40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>
      <c r="A91" s="34"/>
      <c r="B91" s="40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>
      <c r="A92" s="34"/>
      <c r="B92" s="40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>
      <c r="A93" s="34"/>
      <c r="B93" s="40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>
      <c r="A94" s="34"/>
      <c r="B94" s="40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>
      <c r="A95" s="34"/>
      <c r="B95" s="40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>
      <c r="A96" s="34"/>
      <c r="B96" s="40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>
      <c r="A97" s="34"/>
      <c r="B97" s="40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>
      <c r="A98" s="34"/>
      <c r="B98" s="40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>
      <c r="A99" s="34"/>
      <c r="B99" s="40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>
      <c r="A100" s="34"/>
      <c r="B100" s="40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>
      <c r="A101" s="34"/>
      <c r="B101" s="40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>
      <c r="A102" s="34"/>
      <c r="B102" s="40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>
      <c r="A103" s="34"/>
      <c r="B103" s="40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>
      <c r="A104" s="34"/>
      <c r="B104" s="40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>
      <c r="A105" s="34"/>
      <c r="B105" s="40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>
      <c r="A106" s="34"/>
      <c r="B106" s="40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>
      <c r="A107" s="34"/>
      <c r="B107" s="40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>
      <c r="A108" s="34"/>
      <c r="B108" s="40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>
      <c r="A109" s="34"/>
      <c r="B109" s="40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>
      <c r="A110" s="34"/>
      <c r="B110" s="40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>
      <c r="A111" s="34"/>
      <c r="B111" s="40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>
      <c r="A112" s="34"/>
      <c r="B112" s="40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>
      <c r="A113" s="34"/>
      <c r="B113" s="40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>
      <c r="A114" s="34"/>
      <c r="B114" s="40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>
      <c r="A115" s="34"/>
      <c r="B115" s="40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>
      <c r="A116" s="34"/>
      <c r="B116" s="40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>
      <c r="A117" s="34"/>
      <c r="B117" s="40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>
      <c r="A118" s="34"/>
      <c r="B118" s="40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>
      <c r="A119" s="34"/>
      <c r="B119" s="40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>
      <c r="A120" s="34"/>
      <c r="B120" s="40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>
      <c r="A121" s="34"/>
      <c r="B121" s="40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>
      <c r="A122" s="34"/>
      <c r="B122" s="40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>
      <c r="A123" s="34"/>
      <c r="B123" s="40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>
      <c r="A124" s="34"/>
      <c r="B124" s="40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>
      <c r="A125" s="34"/>
      <c r="B125" s="40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>
      <c r="A126" s="34"/>
      <c r="B126" s="40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>
      <c r="A127" s="34"/>
      <c r="B127" s="40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>
      <c r="A128" s="34"/>
      <c r="B128" s="40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>
      <c r="A129" s="34"/>
      <c r="B129" s="40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>
      <c r="A130" s="34"/>
      <c r="B130" s="40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>
      <c r="A131" s="34"/>
      <c r="B131" s="40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>
      <c r="A132" s="34"/>
      <c r="B132" s="40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>
      <c r="A133" s="34"/>
      <c r="B133" s="40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>
      <c r="A134" s="34"/>
      <c r="B134" s="40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>
      <c r="A135" s="34"/>
      <c r="B135" s="40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>
      <c r="A136" s="34"/>
      <c r="B136" s="40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>
      <c r="A137" s="34"/>
      <c r="B137" s="40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>
      <c r="A138" s="34"/>
      <c r="B138" s="40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>
      <c r="A139" s="34"/>
      <c r="B139" s="40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>
      <c r="A140" s="34"/>
      <c r="B140" s="40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>
      <c r="A141" s="34"/>
      <c r="B141" s="40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>
      <c r="A142" s="34"/>
      <c r="B142" s="40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>
      <c r="A143" s="34"/>
      <c r="B143" s="40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>
      <c r="A144" s="34"/>
      <c r="B144" s="40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>
      <c r="A145" s="34"/>
      <c r="B145" s="40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>
      <c r="A146" s="34"/>
      <c r="B146" s="40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>
      <c r="A147" s="34"/>
      <c r="B147" s="40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>
      <c r="A148" s="34"/>
      <c r="B148" s="40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>
      <c r="A149" s="34"/>
      <c r="B149" s="40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>
      <c r="A150" s="34"/>
      <c r="B150" s="40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>
      <c r="A151" s="34"/>
      <c r="B151" s="40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>
      <c r="A152" s="34"/>
      <c r="B152" s="40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>
      <c r="A153" s="34"/>
      <c r="B153" s="40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>
      <c r="A154" s="34"/>
      <c r="B154" s="40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>
      <c r="A155" s="34"/>
      <c r="B155" s="40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>
      <c r="A156" s="34"/>
      <c r="B156" s="40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>
      <c r="A157" s="34"/>
      <c r="B157" s="40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>
      <c r="A158" s="34"/>
      <c r="B158" s="40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>
      <c r="A159" s="34"/>
      <c r="B159" s="40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>
      <c r="A160" s="34"/>
      <c r="B160" s="40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>
      <c r="A161" s="34"/>
      <c r="B161" s="40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>
      <c r="A162" s="34"/>
      <c r="B162" s="40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>
      <c r="A163" s="34"/>
      <c r="B163" s="40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>
      <c r="A164" s="34"/>
      <c r="B164" s="40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>
      <c r="A165" s="34"/>
      <c r="B165" s="40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>
      <c r="A166" s="34"/>
      <c r="B166" s="40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>
      <c r="A167" s="34"/>
      <c r="B167" s="40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>
      <c r="A168" s="34"/>
      <c r="B168" s="40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>
      <c r="A169" s="34"/>
      <c r="B169" s="40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>
      <c r="A170" s="34"/>
      <c r="B170" s="40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>
      <c r="A171" s="34"/>
      <c r="B171" s="40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>
      <c r="A172" s="34"/>
      <c r="B172" s="40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>
      <c r="A173" s="34"/>
      <c r="B173" s="40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>
      <c r="A174" s="34"/>
      <c r="B174" s="40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>
      <c r="A175" s="34"/>
      <c r="B175" s="40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>
      <c r="A176" s="34"/>
      <c r="B176" s="40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>
      <c r="A177" s="34"/>
      <c r="B177" s="40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>
      <c r="A178" s="34"/>
      <c r="B178" s="40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>
      <c r="A179" s="34"/>
      <c r="B179" s="40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>
      <c r="A180" s="34"/>
      <c r="B180" s="40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>
      <c r="A181" s="34"/>
      <c r="B181" s="40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>
      <c r="A182" s="34"/>
      <c r="B182" s="40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>
      <c r="A183" s="34"/>
      <c r="B183" s="40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>
      <c r="A184" s="34"/>
      <c r="B184" s="40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>
      <c r="A185" s="34"/>
      <c r="B185" s="40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>
      <c r="A186" s="34"/>
      <c r="B186" s="40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>
      <c r="A187" s="34"/>
      <c r="B187" s="40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>
      <c r="A188" s="34"/>
      <c r="B188" s="40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>
      <c r="A189" s="34"/>
      <c r="B189" s="40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>
      <c r="A190" s="34"/>
      <c r="B190" s="40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>
      <c r="A191" s="34"/>
      <c r="B191" s="40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>
      <c r="A192" s="34"/>
      <c r="B192" s="40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>
      <c r="A193" s="34"/>
      <c r="B193" s="40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>
      <c r="A194" s="34"/>
      <c r="B194" s="40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>
      <c r="A195" s="34"/>
      <c r="B195" s="40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>
      <c r="A196" s="34"/>
      <c r="B196" s="40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>
      <c r="A197" s="34"/>
      <c r="B197" s="40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>
      <c r="A198" s="34"/>
      <c r="B198" s="40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>
      <c r="A199" s="34"/>
      <c r="B199" s="40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>
      <c r="A200" s="34"/>
      <c r="B200" s="40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>
      <c r="A201" s="34"/>
      <c r="B201" s="40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>
      <c r="A202" s="34"/>
      <c r="B202" s="40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>
      <c r="A203" s="34"/>
      <c r="B203" s="40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>
      <c r="A204" s="34"/>
      <c r="B204" s="40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>
      <c r="A205" s="34"/>
      <c r="B205" s="40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>
      <c r="A206" s="34"/>
      <c r="B206" s="40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>
      <c r="A207" s="34"/>
      <c r="B207" s="40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>
      <c r="A208" s="34"/>
      <c r="B208" s="40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>
      <c r="A209" s="34"/>
      <c r="B209" s="40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>
      <c r="A210" s="34"/>
      <c r="B210" s="40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>
      <c r="A211" s="34"/>
      <c r="B211" s="40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>
      <c r="A212" s="34"/>
      <c r="B212" s="40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>
      <c r="A213" s="34"/>
      <c r="B213" s="40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>
      <c r="A214" s="34"/>
      <c r="B214" s="40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>
      <c r="A215" s="34"/>
      <c r="B215" s="40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>
      <c r="A216" s="34"/>
      <c r="B216" s="40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>
      <c r="A217" s="34"/>
      <c r="B217" s="40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>
      <c r="A218" s="34"/>
      <c r="B218" s="40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>
      <c r="A219" s="34"/>
      <c r="B219" s="40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>
      <c r="A220" s="34"/>
      <c r="B220" s="40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>
      <c r="A221" s="34"/>
      <c r="B221" s="40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>
      <c r="A222" s="34"/>
      <c r="B222" s="40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>
      <c r="A223" s="34"/>
      <c r="B223" s="40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>
      <c r="A224" s="34"/>
      <c r="B224" s="40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>
      <c r="A225" s="34"/>
      <c r="B225" s="40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>
      <c r="A226" s="34"/>
      <c r="B226" s="40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>
      <c r="A227" s="34"/>
      <c r="B227" s="40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>
      <c r="A228" s="34"/>
      <c r="B228" s="40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>
      <c r="A229" s="34"/>
      <c r="B229" s="40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>
      <c r="A230" s="34"/>
      <c r="B230" s="40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>
      <c r="A231" s="34"/>
      <c r="B231" s="40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>
      <c r="A232" s="34"/>
      <c r="B232" s="40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>
      <c r="A233" s="34"/>
      <c r="B233" s="40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>
      <c r="A234" s="34"/>
      <c r="B234" s="40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>
      <c r="A235" s="34"/>
      <c r="B235" s="40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>
      <c r="A236" s="34"/>
      <c r="B236" s="40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>
      <c r="A237" s="34"/>
      <c r="B237" s="40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>
      <c r="A238" s="34"/>
      <c r="B238" s="40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</row>
    <row r="239">
      <c r="A239" s="34"/>
      <c r="B239" s="40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</row>
    <row r="240">
      <c r="A240" s="34"/>
      <c r="B240" s="40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</row>
    <row r="241">
      <c r="A241" s="34"/>
      <c r="B241" s="40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</row>
    <row r="242">
      <c r="A242" s="34"/>
      <c r="B242" s="40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</row>
    <row r="243">
      <c r="A243" s="34"/>
      <c r="B243" s="40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</row>
    <row r="244">
      <c r="A244" s="34"/>
      <c r="B244" s="40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</row>
    <row r="245">
      <c r="A245" s="34"/>
      <c r="B245" s="40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</row>
    <row r="246">
      <c r="A246" s="34"/>
      <c r="B246" s="40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</row>
    <row r="247">
      <c r="A247" s="34"/>
      <c r="B247" s="40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>
      <c r="A248" s="34"/>
      <c r="B248" s="40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</row>
    <row r="249">
      <c r="A249" s="34"/>
      <c r="B249" s="40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</row>
    <row r="250">
      <c r="A250" s="34"/>
      <c r="B250" s="40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</row>
    <row r="251">
      <c r="A251" s="34"/>
      <c r="B251" s="40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</row>
    <row r="252">
      <c r="A252" s="34"/>
      <c r="B252" s="40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</row>
    <row r="253">
      <c r="A253" s="34"/>
      <c r="B253" s="40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</row>
    <row r="254">
      <c r="A254" s="34"/>
      <c r="B254" s="40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</row>
    <row r="255">
      <c r="A255" s="34"/>
      <c r="B255" s="40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</row>
    <row r="256">
      <c r="A256" s="34"/>
      <c r="B256" s="40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</row>
    <row r="257">
      <c r="A257" s="34"/>
      <c r="B257" s="40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</row>
    <row r="258">
      <c r="A258" s="34"/>
      <c r="B258" s="40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</row>
    <row r="259">
      <c r="A259" s="34"/>
      <c r="B259" s="40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</row>
    <row r="260">
      <c r="A260" s="34"/>
      <c r="B260" s="40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</row>
    <row r="261">
      <c r="A261" s="34"/>
      <c r="B261" s="40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</row>
    <row r="262">
      <c r="A262" s="34"/>
      <c r="B262" s="40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</row>
    <row r="263">
      <c r="A263" s="34"/>
      <c r="B263" s="40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</row>
    <row r="264">
      <c r="A264" s="34"/>
      <c r="B264" s="40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>
      <c r="A265" s="34"/>
      <c r="B265" s="40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>
      <c r="A266" s="34"/>
      <c r="B266" s="40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>
      <c r="A267" s="34"/>
      <c r="B267" s="40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>
      <c r="A268" s="34"/>
      <c r="B268" s="40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>
      <c r="A269" s="34"/>
      <c r="B269" s="40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>
      <c r="A270" s="34"/>
      <c r="B270" s="40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>
      <c r="A271" s="34"/>
      <c r="B271" s="40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</row>
    <row r="272">
      <c r="A272" s="34"/>
      <c r="B272" s="40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</row>
    <row r="273">
      <c r="A273" s="34"/>
      <c r="B273" s="40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</row>
    <row r="274">
      <c r="A274" s="34"/>
      <c r="B274" s="40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>
      <c r="A275" s="34"/>
      <c r="B275" s="40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</row>
    <row r="276">
      <c r="A276" s="34"/>
      <c r="B276" s="40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</row>
    <row r="277">
      <c r="A277" s="34"/>
      <c r="B277" s="40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</row>
    <row r="278">
      <c r="A278" s="34"/>
      <c r="B278" s="40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</row>
    <row r="279">
      <c r="A279" s="34"/>
      <c r="B279" s="40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</row>
    <row r="280">
      <c r="A280" s="34"/>
      <c r="B280" s="40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</row>
    <row r="281">
      <c r="A281" s="34"/>
      <c r="B281" s="40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</row>
    <row r="282">
      <c r="A282" s="34"/>
      <c r="B282" s="40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</row>
    <row r="283">
      <c r="A283" s="34"/>
      <c r="B283" s="40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</row>
    <row r="284">
      <c r="A284" s="34"/>
      <c r="B284" s="40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</row>
    <row r="285">
      <c r="A285" s="34"/>
      <c r="B285" s="40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</row>
    <row r="286">
      <c r="A286" s="34"/>
      <c r="B286" s="40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</row>
    <row r="287">
      <c r="A287" s="34"/>
      <c r="B287" s="40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</row>
    <row r="288">
      <c r="A288" s="34"/>
      <c r="B288" s="40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</row>
    <row r="289">
      <c r="A289" s="34"/>
      <c r="B289" s="40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</row>
    <row r="290">
      <c r="A290" s="34"/>
      <c r="B290" s="40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</row>
    <row r="291">
      <c r="A291" s="34"/>
      <c r="B291" s="40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</row>
    <row r="292">
      <c r="A292" s="34"/>
      <c r="B292" s="40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</row>
    <row r="293">
      <c r="A293" s="34"/>
      <c r="B293" s="40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</row>
    <row r="294">
      <c r="A294" s="34"/>
      <c r="B294" s="40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</row>
    <row r="295">
      <c r="A295" s="34"/>
      <c r="B295" s="40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</row>
    <row r="296">
      <c r="A296" s="34"/>
      <c r="B296" s="40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</row>
    <row r="297">
      <c r="A297" s="34"/>
      <c r="B297" s="40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</row>
    <row r="298">
      <c r="A298" s="34"/>
      <c r="B298" s="40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</row>
    <row r="299">
      <c r="A299" s="34"/>
      <c r="B299" s="40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</row>
    <row r="300">
      <c r="A300" s="34"/>
      <c r="B300" s="40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</row>
    <row r="301">
      <c r="A301" s="34"/>
      <c r="B301" s="40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</row>
    <row r="302">
      <c r="A302" s="34"/>
      <c r="B302" s="40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</row>
    <row r="303">
      <c r="A303" s="34"/>
      <c r="B303" s="40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</row>
    <row r="304">
      <c r="A304" s="34"/>
      <c r="B304" s="40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</row>
    <row r="305">
      <c r="A305" s="34"/>
      <c r="B305" s="40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</row>
    <row r="306">
      <c r="A306" s="34"/>
      <c r="B306" s="40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</row>
    <row r="307">
      <c r="A307" s="34"/>
      <c r="B307" s="40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</row>
    <row r="308">
      <c r="A308" s="34"/>
      <c r="B308" s="40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</row>
    <row r="309">
      <c r="A309" s="34"/>
      <c r="B309" s="40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</row>
    <row r="310">
      <c r="A310" s="34"/>
      <c r="B310" s="40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</row>
    <row r="311">
      <c r="A311" s="34"/>
      <c r="B311" s="40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</row>
    <row r="312">
      <c r="A312" s="34"/>
      <c r="B312" s="40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</row>
    <row r="313">
      <c r="A313" s="34"/>
      <c r="B313" s="40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</row>
    <row r="314">
      <c r="A314" s="34"/>
      <c r="B314" s="40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</row>
    <row r="315">
      <c r="A315" s="34"/>
      <c r="B315" s="40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>
      <c r="A316" s="34"/>
      <c r="B316" s="40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</row>
    <row r="317">
      <c r="A317" s="34"/>
      <c r="B317" s="40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</row>
    <row r="318">
      <c r="A318" s="34"/>
      <c r="B318" s="40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</row>
    <row r="319">
      <c r="A319" s="34"/>
      <c r="B319" s="40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</row>
    <row r="320">
      <c r="A320" s="34"/>
      <c r="B320" s="40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</row>
    <row r="321">
      <c r="A321" s="34"/>
      <c r="B321" s="40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</row>
    <row r="322">
      <c r="A322" s="34"/>
      <c r="B322" s="40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</row>
    <row r="323">
      <c r="A323" s="34"/>
      <c r="B323" s="40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</row>
    <row r="324">
      <c r="A324" s="34"/>
      <c r="B324" s="40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</row>
    <row r="325">
      <c r="A325" s="34"/>
      <c r="B325" s="40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</row>
    <row r="326">
      <c r="A326" s="34"/>
      <c r="B326" s="40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</row>
    <row r="327">
      <c r="A327" s="34"/>
      <c r="B327" s="40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</row>
    <row r="328">
      <c r="A328" s="34"/>
      <c r="B328" s="40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</row>
    <row r="329">
      <c r="A329" s="34"/>
      <c r="B329" s="40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</row>
    <row r="330">
      <c r="A330" s="34"/>
      <c r="B330" s="40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</row>
    <row r="331">
      <c r="A331" s="34"/>
      <c r="B331" s="40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</row>
    <row r="332">
      <c r="A332" s="34"/>
      <c r="B332" s="40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</row>
    <row r="333">
      <c r="A333" s="34"/>
      <c r="B333" s="40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</row>
    <row r="334">
      <c r="A334" s="34"/>
      <c r="B334" s="40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</row>
    <row r="335">
      <c r="A335" s="34"/>
      <c r="B335" s="40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</row>
    <row r="336">
      <c r="A336" s="34"/>
      <c r="B336" s="40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</row>
    <row r="337">
      <c r="A337" s="34"/>
      <c r="B337" s="40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</row>
    <row r="338">
      <c r="A338" s="34"/>
      <c r="B338" s="40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</row>
    <row r="339">
      <c r="A339" s="34"/>
      <c r="B339" s="40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</row>
    <row r="340">
      <c r="A340" s="34"/>
      <c r="B340" s="40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</row>
    <row r="341">
      <c r="A341" s="34"/>
      <c r="B341" s="40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</row>
    <row r="342">
      <c r="A342" s="34"/>
      <c r="B342" s="40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</row>
    <row r="343">
      <c r="A343" s="34"/>
      <c r="B343" s="40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</row>
    <row r="344">
      <c r="A344" s="34"/>
      <c r="B344" s="40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</row>
    <row r="345">
      <c r="A345" s="34"/>
      <c r="B345" s="40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</row>
    <row r="346">
      <c r="A346" s="34"/>
      <c r="B346" s="40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</row>
    <row r="347">
      <c r="A347" s="34"/>
      <c r="B347" s="40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</row>
    <row r="348">
      <c r="A348" s="34"/>
      <c r="B348" s="40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</row>
    <row r="349">
      <c r="A349" s="34"/>
      <c r="B349" s="40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</row>
    <row r="350">
      <c r="A350" s="34"/>
      <c r="B350" s="40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</row>
    <row r="351">
      <c r="A351" s="34"/>
      <c r="B351" s="40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</row>
    <row r="352">
      <c r="A352" s="34"/>
      <c r="B352" s="40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</row>
    <row r="353">
      <c r="A353" s="34"/>
      <c r="B353" s="40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</row>
    <row r="354">
      <c r="A354" s="34"/>
      <c r="B354" s="40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</row>
    <row r="355">
      <c r="A355" s="34"/>
      <c r="B355" s="40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</row>
    <row r="356">
      <c r="A356" s="34"/>
      <c r="B356" s="40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</row>
    <row r="357">
      <c r="A357" s="34"/>
      <c r="B357" s="40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</row>
    <row r="358">
      <c r="A358" s="34"/>
      <c r="B358" s="40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</row>
    <row r="359">
      <c r="A359" s="34"/>
      <c r="B359" s="40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</row>
    <row r="360">
      <c r="A360" s="34"/>
      <c r="B360" s="40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</row>
    <row r="361">
      <c r="A361" s="34"/>
      <c r="B361" s="40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</row>
    <row r="362">
      <c r="A362" s="34"/>
      <c r="B362" s="40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</row>
    <row r="363">
      <c r="A363" s="34"/>
      <c r="B363" s="40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</row>
    <row r="364">
      <c r="A364" s="34"/>
      <c r="B364" s="40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</row>
    <row r="365">
      <c r="A365" s="34"/>
      <c r="B365" s="40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</row>
    <row r="366">
      <c r="A366" s="34"/>
      <c r="B366" s="40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</row>
    <row r="367">
      <c r="A367" s="34"/>
      <c r="B367" s="40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</row>
    <row r="368">
      <c r="A368" s="34"/>
      <c r="B368" s="40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</row>
    <row r="369">
      <c r="A369" s="34"/>
      <c r="B369" s="40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</row>
    <row r="370">
      <c r="A370" s="34"/>
      <c r="B370" s="40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</row>
    <row r="371">
      <c r="A371" s="34"/>
      <c r="B371" s="40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</row>
    <row r="372">
      <c r="A372" s="34"/>
      <c r="B372" s="40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</row>
    <row r="373">
      <c r="A373" s="34"/>
      <c r="B373" s="40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</row>
    <row r="374">
      <c r="A374" s="34"/>
      <c r="B374" s="40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</row>
    <row r="375">
      <c r="A375" s="34"/>
      <c r="B375" s="40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</row>
    <row r="376">
      <c r="A376" s="34"/>
      <c r="B376" s="40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</row>
    <row r="377">
      <c r="A377" s="34"/>
      <c r="B377" s="40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</row>
    <row r="378">
      <c r="A378" s="34"/>
      <c r="B378" s="40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</row>
    <row r="379">
      <c r="A379" s="34"/>
      <c r="B379" s="40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</row>
    <row r="380">
      <c r="A380" s="34"/>
      <c r="B380" s="40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</row>
    <row r="381">
      <c r="A381" s="34"/>
      <c r="B381" s="40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</row>
    <row r="382">
      <c r="A382" s="34"/>
      <c r="B382" s="40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</row>
    <row r="383">
      <c r="A383" s="34"/>
      <c r="B383" s="40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</row>
    <row r="384">
      <c r="A384" s="34"/>
      <c r="B384" s="40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</row>
    <row r="385">
      <c r="A385" s="34"/>
      <c r="B385" s="40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</row>
    <row r="386">
      <c r="A386" s="34"/>
      <c r="B386" s="40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</row>
    <row r="387">
      <c r="A387" s="34"/>
      <c r="B387" s="40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</row>
    <row r="388">
      <c r="A388" s="34"/>
      <c r="B388" s="40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</row>
    <row r="389">
      <c r="A389" s="34"/>
      <c r="B389" s="40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</row>
    <row r="390">
      <c r="A390" s="34"/>
      <c r="B390" s="40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</row>
    <row r="391">
      <c r="A391" s="34"/>
      <c r="B391" s="40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</row>
    <row r="392">
      <c r="A392" s="34"/>
      <c r="B392" s="40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</row>
    <row r="393">
      <c r="A393" s="34"/>
      <c r="B393" s="40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</row>
    <row r="394">
      <c r="A394" s="34"/>
      <c r="B394" s="40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</row>
    <row r="395">
      <c r="A395" s="34"/>
      <c r="B395" s="40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</row>
    <row r="396">
      <c r="A396" s="34"/>
      <c r="B396" s="40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</row>
    <row r="397">
      <c r="A397" s="34"/>
      <c r="B397" s="40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</row>
    <row r="398">
      <c r="A398" s="34"/>
      <c r="B398" s="40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</row>
    <row r="399">
      <c r="A399" s="34"/>
      <c r="B399" s="40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</row>
    <row r="400">
      <c r="A400" s="34"/>
      <c r="B400" s="40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</row>
    <row r="401">
      <c r="A401" s="34"/>
      <c r="B401" s="40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</row>
    <row r="402">
      <c r="A402" s="34"/>
      <c r="B402" s="40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</row>
    <row r="403">
      <c r="A403" s="34"/>
      <c r="B403" s="40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</row>
    <row r="404">
      <c r="A404" s="34"/>
      <c r="B404" s="40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</row>
    <row r="405">
      <c r="A405" s="34"/>
      <c r="B405" s="40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</row>
    <row r="406">
      <c r="A406" s="34"/>
      <c r="B406" s="40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</row>
    <row r="407">
      <c r="A407" s="34"/>
      <c r="B407" s="40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</row>
    <row r="408">
      <c r="A408" s="34"/>
      <c r="B408" s="40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</row>
    <row r="409">
      <c r="A409" s="34"/>
      <c r="B409" s="40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</row>
    <row r="410">
      <c r="A410" s="34"/>
      <c r="B410" s="40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</row>
    <row r="411">
      <c r="A411" s="34"/>
      <c r="B411" s="40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</row>
    <row r="412">
      <c r="A412" s="34"/>
      <c r="B412" s="40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</row>
    <row r="413">
      <c r="A413" s="34"/>
      <c r="B413" s="40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</row>
    <row r="414">
      <c r="A414" s="34"/>
      <c r="B414" s="40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</row>
    <row r="415">
      <c r="A415" s="34"/>
      <c r="B415" s="40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>
      <c r="A416" s="34"/>
      <c r="B416" s="40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</row>
    <row r="417">
      <c r="A417" s="34"/>
      <c r="B417" s="40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</row>
    <row r="418">
      <c r="A418" s="34"/>
      <c r="B418" s="40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</row>
    <row r="419">
      <c r="A419" s="34"/>
      <c r="B419" s="40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</row>
    <row r="420">
      <c r="A420" s="34"/>
      <c r="B420" s="40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</row>
    <row r="421">
      <c r="A421" s="34"/>
      <c r="B421" s="40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</row>
    <row r="422">
      <c r="A422" s="34"/>
      <c r="B422" s="40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</row>
    <row r="423">
      <c r="A423" s="34"/>
      <c r="B423" s="40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</row>
    <row r="424">
      <c r="A424" s="34"/>
      <c r="B424" s="40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</row>
    <row r="425">
      <c r="A425" s="34"/>
      <c r="B425" s="40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</row>
    <row r="426">
      <c r="A426" s="34"/>
      <c r="B426" s="40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</row>
    <row r="427">
      <c r="A427" s="34"/>
      <c r="B427" s="40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</row>
    <row r="428">
      <c r="A428" s="34"/>
      <c r="B428" s="40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</row>
    <row r="429">
      <c r="A429" s="34"/>
      <c r="B429" s="40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</row>
    <row r="430">
      <c r="A430" s="34"/>
      <c r="B430" s="40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>
      <c r="A431" s="34"/>
      <c r="B431" s="40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</row>
    <row r="432">
      <c r="A432" s="34"/>
      <c r="B432" s="40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</row>
    <row r="433">
      <c r="A433" s="34"/>
      <c r="B433" s="40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</row>
    <row r="434">
      <c r="A434" s="34"/>
      <c r="B434" s="40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</row>
    <row r="435">
      <c r="A435" s="34"/>
      <c r="B435" s="40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</row>
    <row r="436">
      <c r="A436" s="34"/>
      <c r="B436" s="40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</row>
    <row r="437">
      <c r="A437" s="34"/>
      <c r="B437" s="40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</row>
    <row r="438">
      <c r="A438" s="34"/>
      <c r="B438" s="40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</row>
    <row r="439">
      <c r="A439" s="34"/>
      <c r="B439" s="40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</row>
    <row r="440">
      <c r="A440" s="34"/>
      <c r="B440" s="40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</row>
    <row r="441">
      <c r="A441" s="34"/>
      <c r="B441" s="40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</row>
    <row r="442">
      <c r="A442" s="34"/>
      <c r="B442" s="40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</row>
    <row r="443">
      <c r="A443" s="34"/>
      <c r="B443" s="40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</row>
    <row r="444">
      <c r="A444" s="34"/>
      <c r="B444" s="40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</row>
    <row r="445">
      <c r="A445" s="34"/>
      <c r="B445" s="40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</row>
    <row r="446">
      <c r="A446" s="34"/>
      <c r="B446" s="40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</row>
    <row r="447">
      <c r="A447" s="34"/>
      <c r="B447" s="40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</row>
    <row r="448">
      <c r="A448" s="34"/>
      <c r="B448" s="40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</row>
    <row r="449">
      <c r="A449" s="34"/>
      <c r="B449" s="40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</row>
    <row r="450">
      <c r="A450" s="34"/>
      <c r="B450" s="40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</row>
    <row r="451">
      <c r="A451" s="34"/>
      <c r="B451" s="40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</row>
    <row r="452">
      <c r="A452" s="34"/>
      <c r="B452" s="40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</row>
    <row r="453">
      <c r="A453" s="34"/>
      <c r="B453" s="40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</row>
    <row r="454">
      <c r="A454" s="34"/>
      <c r="B454" s="40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</row>
    <row r="455">
      <c r="A455" s="34"/>
      <c r="B455" s="40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</row>
    <row r="456">
      <c r="A456" s="34"/>
      <c r="B456" s="40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</row>
    <row r="457">
      <c r="A457" s="34"/>
      <c r="B457" s="40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</row>
    <row r="458">
      <c r="A458" s="34"/>
      <c r="B458" s="40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</row>
    <row r="459">
      <c r="A459" s="34"/>
      <c r="B459" s="40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</row>
    <row r="460">
      <c r="A460" s="34"/>
      <c r="B460" s="40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</row>
    <row r="461">
      <c r="A461" s="34"/>
      <c r="B461" s="40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</row>
    <row r="462">
      <c r="A462" s="34"/>
      <c r="B462" s="40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</row>
    <row r="463">
      <c r="A463" s="34"/>
      <c r="B463" s="40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</row>
    <row r="464">
      <c r="A464" s="34"/>
      <c r="B464" s="40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</row>
    <row r="465">
      <c r="A465" s="34"/>
      <c r="B465" s="40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</row>
    <row r="466">
      <c r="A466" s="34"/>
      <c r="B466" s="40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</row>
    <row r="467">
      <c r="A467" s="34"/>
      <c r="B467" s="40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</row>
    <row r="468">
      <c r="A468" s="34"/>
      <c r="B468" s="40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</row>
    <row r="469">
      <c r="A469" s="34"/>
      <c r="B469" s="40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</row>
    <row r="470">
      <c r="A470" s="34"/>
      <c r="B470" s="40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</row>
    <row r="471">
      <c r="A471" s="34"/>
      <c r="B471" s="40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</row>
    <row r="472">
      <c r="A472" s="34"/>
      <c r="B472" s="40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>
      <c r="A473" s="34"/>
      <c r="B473" s="40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</row>
    <row r="474">
      <c r="A474" s="34"/>
      <c r="B474" s="40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</row>
    <row r="475">
      <c r="A475" s="34"/>
      <c r="B475" s="40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</row>
    <row r="476">
      <c r="A476" s="34"/>
      <c r="B476" s="40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</row>
    <row r="477">
      <c r="A477" s="34"/>
      <c r="B477" s="40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</row>
    <row r="478">
      <c r="A478" s="34"/>
      <c r="B478" s="40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</row>
    <row r="479">
      <c r="A479" s="34"/>
      <c r="B479" s="40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</row>
    <row r="480">
      <c r="A480" s="34"/>
      <c r="B480" s="40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</row>
    <row r="481">
      <c r="A481" s="34"/>
      <c r="B481" s="40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</row>
    <row r="482">
      <c r="A482" s="34"/>
      <c r="B482" s="40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</row>
    <row r="483">
      <c r="A483" s="34"/>
      <c r="B483" s="40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</row>
    <row r="484">
      <c r="A484" s="34"/>
      <c r="B484" s="40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</row>
    <row r="485">
      <c r="A485" s="34"/>
      <c r="B485" s="40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</row>
    <row r="486">
      <c r="A486" s="34"/>
      <c r="B486" s="40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</row>
    <row r="487">
      <c r="A487" s="34"/>
      <c r="B487" s="40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</row>
    <row r="488">
      <c r="A488" s="34"/>
      <c r="B488" s="40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</row>
    <row r="489">
      <c r="A489" s="34"/>
      <c r="B489" s="40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</row>
    <row r="490">
      <c r="A490" s="34"/>
      <c r="B490" s="40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</row>
    <row r="491">
      <c r="A491" s="34"/>
      <c r="B491" s="40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</row>
    <row r="492">
      <c r="A492" s="34"/>
      <c r="B492" s="40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</row>
    <row r="493">
      <c r="A493" s="34"/>
      <c r="B493" s="40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</row>
    <row r="494">
      <c r="A494" s="34"/>
      <c r="B494" s="40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</row>
    <row r="495">
      <c r="A495" s="34"/>
      <c r="B495" s="40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</row>
    <row r="496">
      <c r="A496" s="34"/>
      <c r="B496" s="40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</row>
    <row r="497">
      <c r="A497" s="34"/>
      <c r="B497" s="40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</row>
    <row r="498">
      <c r="A498" s="34"/>
      <c r="B498" s="40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</row>
    <row r="499">
      <c r="A499" s="34"/>
      <c r="B499" s="40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</row>
    <row r="500">
      <c r="A500" s="34"/>
      <c r="B500" s="40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</row>
    <row r="501">
      <c r="A501" s="34"/>
      <c r="B501" s="40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</row>
    <row r="502">
      <c r="A502" s="34"/>
      <c r="B502" s="40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</row>
    <row r="503">
      <c r="A503" s="34"/>
      <c r="B503" s="40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</row>
    <row r="504">
      <c r="A504" s="34"/>
      <c r="B504" s="40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</row>
    <row r="505">
      <c r="A505" s="34"/>
      <c r="B505" s="40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</row>
    <row r="506">
      <c r="A506" s="34"/>
      <c r="B506" s="40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</row>
    <row r="507">
      <c r="A507" s="34"/>
      <c r="B507" s="40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</row>
    <row r="508">
      <c r="A508" s="34"/>
      <c r="B508" s="40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>
      <c r="A509" s="34"/>
      <c r="B509" s="40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</row>
    <row r="510">
      <c r="A510" s="34"/>
      <c r="B510" s="40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</row>
    <row r="511">
      <c r="A511" s="34"/>
      <c r="B511" s="40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</row>
    <row r="512">
      <c r="A512" s="34"/>
      <c r="B512" s="40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</row>
    <row r="513">
      <c r="A513" s="34"/>
      <c r="B513" s="40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</row>
    <row r="514">
      <c r="A514" s="34"/>
      <c r="B514" s="40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</row>
    <row r="515">
      <c r="A515" s="34"/>
      <c r="B515" s="40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</row>
    <row r="516">
      <c r="A516" s="34"/>
      <c r="B516" s="40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</row>
    <row r="517">
      <c r="A517" s="34"/>
      <c r="B517" s="40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</row>
    <row r="518">
      <c r="A518" s="34"/>
      <c r="B518" s="40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</row>
    <row r="519">
      <c r="A519" s="34"/>
      <c r="B519" s="40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</row>
    <row r="520">
      <c r="A520" s="34"/>
      <c r="B520" s="40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</row>
    <row r="521">
      <c r="A521" s="34"/>
      <c r="B521" s="40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</row>
    <row r="522">
      <c r="A522" s="34"/>
      <c r="B522" s="40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</row>
    <row r="523">
      <c r="A523" s="34"/>
      <c r="B523" s="40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</row>
    <row r="524">
      <c r="A524" s="34"/>
      <c r="B524" s="40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</row>
    <row r="525">
      <c r="A525" s="34"/>
      <c r="B525" s="40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</row>
    <row r="526">
      <c r="A526" s="34"/>
      <c r="B526" s="40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</row>
    <row r="527">
      <c r="A527" s="34"/>
      <c r="B527" s="40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>
      <c r="A528" s="34"/>
      <c r="B528" s="40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</row>
    <row r="529">
      <c r="A529" s="34"/>
      <c r="B529" s="40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</row>
    <row r="530">
      <c r="A530" s="34"/>
      <c r="B530" s="40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</row>
    <row r="531">
      <c r="A531" s="34"/>
      <c r="B531" s="40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</row>
    <row r="532">
      <c r="A532" s="34"/>
      <c r="B532" s="40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</row>
    <row r="533">
      <c r="A533" s="34"/>
      <c r="B533" s="40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</row>
    <row r="534">
      <c r="A534" s="34"/>
      <c r="B534" s="40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</row>
    <row r="535">
      <c r="A535" s="34"/>
      <c r="B535" s="40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</row>
    <row r="536">
      <c r="A536" s="34"/>
      <c r="B536" s="40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</row>
    <row r="537">
      <c r="A537" s="34"/>
      <c r="B537" s="40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</row>
    <row r="538">
      <c r="A538" s="34"/>
      <c r="B538" s="40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</row>
    <row r="539">
      <c r="A539" s="34"/>
      <c r="B539" s="40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</row>
    <row r="540">
      <c r="A540" s="34"/>
      <c r="B540" s="40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</row>
    <row r="541">
      <c r="A541" s="34"/>
      <c r="B541" s="40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</row>
    <row r="542">
      <c r="A542" s="34"/>
      <c r="B542" s="40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</row>
    <row r="543">
      <c r="A543" s="34"/>
      <c r="B543" s="40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</row>
    <row r="544">
      <c r="A544" s="34"/>
      <c r="B544" s="40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</row>
    <row r="545">
      <c r="A545" s="34"/>
      <c r="B545" s="40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</row>
    <row r="546">
      <c r="A546" s="34"/>
      <c r="B546" s="40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</row>
    <row r="547">
      <c r="A547" s="34"/>
      <c r="B547" s="40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</row>
    <row r="548">
      <c r="A548" s="34"/>
      <c r="B548" s="40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</row>
    <row r="549">
      <c r="A549" s="34"/>
      <c r="B549" s="40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</row>
    <row r="550">
      <c r="A550" s="34"/>
      <c r="B550" s="40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</row>
    <row r="551">
      <c r="A551" s="34"/>
      <c r="B551" s="40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</row>
    <row r="552">
      <c r="A552" s="34"/>
      <c r="B552" s="40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</row>
    <row r="553">
      <c r="A553" s="34"/>
      <c r="B553" s="40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</row>
    <row r="554">
      <c r="A554" s="34"/>
      <c r="B554" s="40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</row>
    <row r="555">
      <c r="A555" s="34"/>
      <c r="B555" s="40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</row>
    <row r="556">
      <c r="A556" s="34"/>
      <c r="B556" s="40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</row>
    <row r="557">
      <c r="A557" s="34"/>
      <c r="B557" s="40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</row>
    <row r="558">
      <c r="A558" s="34"/>
      <c r="B558" s="40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</row>
    <row r="559">
      <c r="A559" s="34"/>
      <c r="B559" s="40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</row>
    <row r="560">
      <c r="A560" s="34"/>
      <c r="B560" s="40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</row>
    <row r="561">
      <c r="A561" s="34"/>
      <c r="B561" s="40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</row>
    <row r="562">
      <c r="A562" s="34"/>
      <c r="B562" s="40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</row>
    <row r="563">
      <c r="A563" s="34"/>
      <c r="B563" s="40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</row>
    <row r="564">
      <c r="A564" s="34"/>
      <c r="B564" s="40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</row>
    <row r="565">
      <c r="A565" s="34"/>
      <c r="B565" s="40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</row>
    <row r="566">
      <c r="A566" s="34"/>
      <c r="B566" s="40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</row>
    <row r="567">
      <c r="A567" s="34"/>
      <c r="B567" s="40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</row>
    <row r="568">
      <c r="A568" s="34"/>
      <c r="B568" s="40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</row>
    <row r="569">
      <c r="A569" s="34"/>
      <c r="B569" s="40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</row>
    <row r="570">
      <c r="A570" s="34"/>
      <c r="B570" s="40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</row>
    <row r="571">
      <c r="A571" s="34"/>
      <c r="B571" s="40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</row>
    <row r="572">
      <c r="A572" s="34"/>
      <c r="B572" s="40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</row>
    <row r="573">
      <c r="A573" s="34"/>
      <c r="B573" s="40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</row>
    <row r="574">
      <c r="A574" s="34"/>
      <c r="B574" s="40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</row>
    <row r="575">
      <c r="A575" s="34"/>
      <c r="B575" s="40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</row>
    <row r="576">
      <c r="A576" s="34"/>
      <c r="B576" s="40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</row>
    <row r="577">
      <c r="A577" s="34"/>
      <c r="B577" s="40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</row>
    <row r="578">
      <c r="A578" s="34"/>
      <c r="B578" s="40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</row>
    <row r="579">
      <c r="A579" s="34"/>
      <c r="B579" s="40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</row>
    <row r="580">
      <c r="A580" s="34"/>
      <c r="B580" s="40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</row>
    <row r="581">
      <c r="A581" s="34"/>
      <c r="B581" s="40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</row>
    <row r="582">
      <c r="A582" s="34"/>
      <c r="B582" s="40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</row>
    <row r="583">
      <c r="A583" s="34"/>
      <c r="B583" s="40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</row>
    <row r="584">
      <c r="A584" s="34"/>
      <c r="B584" s="40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</row>
    <row r="585">
      <c r="A585" s="34"/>
      <c r="B585" s="40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</row>
    <row r="586">
      <c r="A586" s="34"/>
      <c r="B586" s="40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</row>
    <row r="587">
      <c r="A587" s="34"/>
      <c r="B587" s="40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</row>
    <row r="588">
      <c r="A588" s="34"/>
      <c r="B588" s="40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</row>
    <row r="589">
      <c r="A589" s="34"/>
      <c r="B589" s="40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</row>
    <row r="590">
      <c r="A590" s="34"/>
      <c r="B590" s="40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</row>
    <row r="591">
      <c r="A591" s="34"/>
      <c r="B591" s="40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>
      <c r="A592" s="34"/>
      <c r="B592" s="40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</row>
    <row r="593">
      <c r="A593" s="34"/>
      <c r="B593" s="40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</row>
    <row r="594">
      <c r="A594" s="34"/>
      <c r="B594" s="40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</row>
    <row r="595">
      <c r="A595" s="34"/>
      <c r="B595" s="40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</row>
    <row r="596">
      <c r="A596" s="34"/>
      <c r="B596" s="40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</row>
    <row r="597">
      <c r="A597" s="34"/>
      <c r="B597" s="40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</row>
    <row r="598">
      <c r="A598" s="34"/>
      <c r="B598" s="40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</row>
    <row r="599">
      <c r="A599" s="34"/>
      <c r="B599" s="40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</row>
    <row r="600">
      <c r="A600" s="34"/>
      <c r="B600" s="40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</row>
    <row r="601">
      <c r="A601" s="34"/>
      <c r="B601" s="40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</row>
    <row r="602">
      <c r="A602" s="34"/>
      <c r="B602" s="40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</row>
    <row r="603">
      <c r="A603" s="34"/>
      <c r="B603" s="40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</row>
    <row r="604">
      <c r="A604" s="34"/>
      <c r="B604" s="40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</row>
    <row r="605">
      <c r="A605" s="34"/>
      <c r="B605" s="40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</row>
    <row r="606">
      <c r="A606" s="34"/>
      <c r="B606" s="40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</row>
    <row r="607">
      <c r="A607" s="34"/>
      <c r="B607" s="40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</row>
    <row r="608">
      <c r="A608" s="34"/>
      <c r="B608" s="40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</row>
    <row r="609">
      <c r="A609" s="34"/>
      <c r="B609" s="40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</row>
    <row r="610">
      <c r="A610" s="34"/>
      <c r="B610" s="40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</row>
    <row r="611">
      <c r="A611" s="34"/>
      <c r="B611" s="40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</row>
    <row r="612">
      <c r="A612" s="34"/>
      <c r="B612" s="40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</row>
    <row r="613">
      <c r="A613" s="34"/>
      <c r="B613" s="40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</row>
    <row r="614">
      <c r="A614" s="34"/>
      <c r="B614" s="40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</row>
    <row r="615">
      <c r="A615" s="34"/>
      <c r="B615" s="40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</row>
    <row r="616">
      <c r="A616" s="34"/>
      <c r="B616" s="40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</row>
    <row r="617">
      <c r="A617" s="34"/>
      <c r="B617" s="40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</row>
    <row r="618">
      <c r="A618" s="34"/>
      <c r="B618" s="40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</row>
    <row r="619">
      <c r="A619" s="34"/>
      <c r="B619" s="40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</row>
    <row r="620">
      <c r="A620" s="34"/>
      <c r="B620" s="40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</row>
    <row r="621">
      <c r="A621" s="34"/>
      <c r="B621" s="40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</row>
    <row r="622">
      <c r="A622" s="34"/>
      <c r="B622" s="40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</row>
    <row r="623">
      <c r="A623" s="34"/>
      <c r="B623" s="40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</row>
    <row r="624">
      <c r="A624" s="34"/>
      <c r="B624" s="40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</row>
    <row r="625">
      <c r="A625" s="34"/>
      <c r="B625" s="40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</row>
    <row r="626">
      <c r="A626" s="34"/>
      <c r="B626" s="40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</row>
    <row r="627">
      <c r="A627" s="34"/>
      <c r="B627" s="40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</row>
    <row r="628">
      <c r="A628" s="34"/>
      <c r="B628" s="40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</row>
    <row r="629">
      <c r="A629" s="34"/>
      <c r="B629" s="40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</row>
    <row r="630">
      <c r="A630" s="34"/>
      <c r="B630" s="40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</row>
    <row r="631">
      <c r="A631" s="34"/>
      <c r="B631" s="40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</row>
    <row r="632">
      <c r="A632" s="34"/>
      <c r="B632" s="40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</row>
    <row r="633">
      <c r="A633" s="34"/>
      <c r="B633" s="40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</row>
    <row r="634">
      <c r="A634" s="34"/>
      <c r="B634" s="40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>
      <c r="A635" s="34"/>
      <c r="B635" s="40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</row>
    <row r="636">
      <c r="A636" s="34"/>
      <c r="B636" s="40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</row>
    <row r="637">
      <c r="A637" s="34"/>
      <c r="B637" s="40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</row>
    <row r="638">
      <c r="A638" s="34"/>
      <c r="B638" s="40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</row>
    <row r="639">
      <c r="A639" s="34"/>
      <c r="B639" s="40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</row>
    <row r="640">
      <c r="A640" s="34"/>
      <c r="B640" s="40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</row>
    <row r="641">
      <c r="A641" s="34"/>
      <c r="B641" s="40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</row>
    <row r="642">
      <c r="A642" s="34"/>
      <c r="B642" s="40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</row>
    <row r="643">
      <c r="A643" s="34"/>
      <c r="B643" s="40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</row>
    <row r="644">
      <c r="A644" s="34"/>
      <c r="B644" s="40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</row>
    <row r="645">
      <c r="A645" s="34"/>
      <c r="B645" s="40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</row>
    <row r="646">
      <c r="A646" s="34"/>
      <c r="B646" s="40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</row>
    <row r="647">
      <c r="A647" s="34"/>
      <c r="B647" s="40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</row>
    <row r="648">
      <c r="A648" s="34"/>
      <c r="B648" s="40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</row>
    <row r="649">
      <c r="A649" s="34"/>
      <c r="B649" s="40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</row>
    <row r="650">
      <c r="A650" s="34"/>
      <c r="B650" s="40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</row>
    <row r="651">
      <c r="A651" s="34"/>
      <c r="B651" s="40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</row>
    <row r="652">
      <c r="A652" s="34"/>
      <c r="B652" s="40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</row>
    <row r="653">
      <c r="A653" s="34"/>
      <c r="B653" s="40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</row>
    <row r="654">
      <c r="A654" s="34"/>
      <c r="B654" s="40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</row>
    <row r="655">
      <c r="A655" s="34"/>
      <c r="B655" s="40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</row>
    <row r="656">
      <c r="A656" s="34"/>
      <c r="B656" s="40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</row>
    <row r="657">
      <c r="A657" s="34"/>
      <c r="B657" s="40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</row>
    <row r="658">
      <c r="A658" s="34"/>
      <c r="B658" s="40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</row>
    <row r="659">
      <c r="A659" s="34"/>
      <c r="B659" s="40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</row>
    <row r="660">
      <c r="A660" s="34"/>
      <c r="B660" s="40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</row>
    <row r="661">
      <c r="A661" s="34"/>
      <c r="B661" s="40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</row>
    <row r="662">
      <c r="A662" s="34"/>
      <c r="B662" s="40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</row>
    <row r="663">
      <c r="A663" s="34"/>
      <c r="B663" s="40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</row>
    <row r="664">
      <c r="A664" s="34"/>
      <c r="B664" s="40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</row>
    <row r="665">
      <c r="A665" s="34"/>
      <c r="B665" s="40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</row>
    <row r="666">
      <c r="A666" s="34"/>
      <c r="B666" s="40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</row>
    <row r="667">
      <c r="A667" s="34"/>
      <c r="B667" s="40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>
      <c r="A668" s="34"/>
      <c r="B668" s="40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</row>
    <row r="669">
      <c r="A669" s="34"/>
      <c r="B669" s="40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</row>
    <row r="670">
      <c r="A670" s="34"/>
      <c r="B670" s="40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</row>
    <row r="671">
      <c r="A671" s="34"/>
      <c r="B671" s="40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</row>
    <row r="672">
      <c r="A672" s="34"/>
      <c r="B672" s="40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</row>
    <row r="673">
      <c r="A673" s="34"/>
      <c r="B673" s="40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</row>
    <row r="674">
      <c r="A674" s="34"/>
      <c r="B674" s="40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</row>
    <row r="675">
      <c r="A675" s="34"/>
      <c r="B675" s="40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</row>
    <row r="676">
      <c r="A676" s="34"/>
      <c r="B676" s="40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</row>
    <row r="677">
      <c r="A677" s="34"/>
      <c r="B677" s="40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</row>
    <row r="678">
      <c r="A678" s="34"/>
      <c r="B678" s="40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</row>
    <row r="679">
      <c r="A679" s="34"/>
      <c r="B679" s="40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</row>
    <row r="680">
      <c r="A680" s="34"/>
      <c r="B680" s="40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</row>
    <row r="681">
      <c r="A681" s="34"/>
      <c r="B681" s="40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</row>
    <row r="682">
      <c r="A682" s="34"/>
      <c r="B682" s="40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</row>
    <row r="683">
      <c r="A683" s="34"/>
      <c r="B683" s="40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</row>
    <row r="684">
      <c r="A684" s="34"/>
      <c r="B684" s="40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</row>
    <row r="685">
      <c r="A685" s="34"/>
      <c r="B685" s="40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</row>
    <row r="686">
      <c r="A686" s="34"/>
      <c r="B686" s="40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</row>
    <row r="687">
      <c r="A687" s="34"/>
      <c r="B687" s="40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</row>
    <row r="688">
      <c r="A688" s="34"/>
      <c r="B688" s="40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</row>
    <row r="689">
      <c r="A689" s="34"/>
      <c r="B689" s="40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</row>
    <row r="690">
      <c r="A690" s="34"/>
      <c r="B690" s="40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</row>
    <row r="691">
      <c r="A691" s="34"/>
      <c r="B691" s="40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</row>
    <row r="692">
      <c r="A692" s="34"/>
      <c r="B692" s="40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</row>
    <row r="693">
      <c r="A693" s="34"/>
      <c r="B693" s="40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</row>
    <row r="694">
      <c r="A694" s="34"/>
      <c r="B694" s="40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</row>
    <row r="695">
      <c r="A695" s="34"/>
      <c r="B695" s="40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</row>
    <row r="696">
      <c r="A696" s="34"/>
      <c r="B696" s="40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</row>
    <row r="697">
      <c r="A697" s="34"/>
      <c r="B697" s="40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</row>
    <row r="698">
      <c r="A698" s="34"/>
      <c r="B698" s="40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</row>
    <row r="699">
      <c r="A699" s="34"/>
      <c r="B699" s="40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</row>
    <row r="700">
      <c r="A700" s="34"/>
      <c r="B700" s="40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</row>
    <row r="701">
      <c r="A701" s="34"/>
      <c r="B701" s="40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>
      <c r="A702" s="34"/>
      <c r="B702" s="40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</row>
    <row r="703">
      <c r="A703" s="34"/>
      <c r="B703" s="40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</row>
    <row r="704">
      <c r="A704" s="34"/>
      <c r="B704" s="40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</row>
    <row r="705">
      <c r="A705" s="34"/>
      <c r="B705" s="40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</row>
    <row r="706">
      <c r="A706" s="34"/>
      <c r="B706" s="40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</row>
    <row r="707">
      <c r="A707" s="34"/>
      <c r="B707" s="40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</row>
    <row r="708">
      <c r="A708" s="34"/>
      <c r="B708" s="40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</row>
    <row r="709">
      <c r="A709" s="34"/>
      <c r="B709" s="40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</row>
    <row r="710">
      <c r="A710" s="34"/>
      <c r="B710" s="40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</row>
    <row r="711">
      <c r="A711" s="34"/>
      <c r="B711" s="40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</row>
    <row r="712">
      <c r="A712" s="34"/>
      <c r="B712" s="40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</row>
    <row r="713">
      <c r="A713" s="34"/>
      <c r="B713" s="40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</row>
    <row r="714">
      <c r="A714" s="34"/>
      <c r="B714" s="40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</row>
    <row r="715">
      <c r="A715" s="34"/>
      <c r="B715" s="40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</row>
    <row r="716">
      <c r="A716" s="34"/>
      <c r="B716" s="40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</row>
    <row r="717">
      <c r="A717" s="34"/>
      <c r="B717" s="40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</row>
    <row r="718">
      <c r="A718" s="34"/>
      <c r="B718" s="40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</row>
    <row r="719">
      <c r="A719" s="34"/>
      <c r="B719" s="40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</row>
    <row r="720">
      <c r="A720" s="34"/>
      <c r="B720" s="40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</row>
    <row r="721">
      <c r="A721" s="34"/>
      <c r="B721" s="40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</row>
    <row r="722">
      <c r="A722" s="34"/>
      <c r="B722" s="40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</row>
    <row r="723">
      <c r="A723" s="34"/>
      <c r="B723" s="40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</row>
    <row r="724">
      <c r="A724" s="34"/>
      <c r="B724" s="40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</row>
    <row r="725">
      <c r="A725" s="34"/>
      <c r="B725" s="40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</row>
    <row r="726">
      <c r="A726" s="34"/>
      <c r="B726" s="40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</row>
    <row r="727">
      <c r="A727" s="34"/>
      <c r="B727" s="40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</row>
    <row r="728">
      <c r="A728" s="34"/>
      <c r="B728" s="40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</row>
    <row r="729">
      <c r="A729" s="34"/>
      <c r="B729" s="40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</row>
    <row r="730">
      <c r="A730" s="34"/>
      <c r="B730" s="40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</row>
    <row r="731">
      <c r="A731" s="34"/>
      <c r="B731" s="40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</row>
    <row r="732">
      <c r="A732" s="34"/>
      <c r="B732" s="40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</row>
    <row r="733">
      <c r="A733" s="34"/>
      <c r="B733" s="40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</row>
    <row r="734">
      <c r="A734" s="34"/>
      <c r="B734" s="40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</row>
    <row r="735">
      <c r="A735" s="34"/>
      <c r="B735" s="40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</row>
    <row r="736">
      <c r="A736" s="34"/>
      <c r="B736" s="40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</row>
    <row r="737">
      <c r="A737" s="34"/>
      <c r="B737" s="40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</row>
    <row r="738">
      <c r="A738" s="34"/>
      <c r="B738" s="40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>
      <c r="A739" s="34"/>
      <c r="B739" s="40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</row>
    <row r="740">
      <c r="A740" s="34"/>
      <c r="B740" s="40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</row>
    <row r="741">
      <c r="A741" s="34"/>
      <c r="B741" s="40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</row>
    <row r="742">
      <c r="A742" s="34"/>
      <c r="B742" s="40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</row>
    <row r="743">
      <c r="A743" s="34"/>
      <c r="B743" s="40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</row>
    <row r="744">
      <c r="A744" s="34"/>
      <c r="B744" s="40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</row>
    <row r="745">
      <c r="A745" s="34"/>
      <c r="B745" s="40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</row>
    <row r="746">
      <c r="A746" s="34"/>
      <c r="B746" s="40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</row>
    <row r="747">
      <c r="A747" s="34"/>
      <c r="B747" s="40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</row>
    <row r="748">
      <c r="A748" s="34"/>
      <c r="B748" s="40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</row>
    <row r="749">
      <c r="A749" s="34"/>
      <c r="B749" s="40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</row>
    <row r="750">
      <c r="A750" s="34"/>
      <c r="B750" s="40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</row>
    <row r="751">
      <c r="A751" s="34"/>
      <c r="B751" s="40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</row>
    <row r="752">
      <c r="A752" s="34"/>
      <c r="B752" s="40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</row>
    <row r="753">
      <c r="A753" s="34"/>
      <c r="B753" s="40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</row>
    <row r="754">
      <c r="A754" s="34"/>
      <c r="B754" s="40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</row>
    <row r="755">
      <c r="A755" s="34"/>
      <c r="B755" s="40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</row>
    <row r="756">
      <c r="A756" s="34"/>
      <c r="B756" s="40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</row>
    <row r="757">
      <c r="A757" s="34"/>
      <c r="B757" s="40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</row>
    <row r="758">
      <c r="A758" s="34"/>
      <c r="B758" s="40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</row>
    <row r="759">
      <c r="A759" s="34"/>
      <c r="B759" s="40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</row>
    <row r="760">
      <c r="A760" s="34"/>
      <c r="B760" s="40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</row>
    <row r="761">
      <c r="A761" s="34"/>
      <c r="B761" s="40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</row>
    <row r="762">
      <c r="A762" s="34"/>
      <c r="B762" s="40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</row>
    <row r="763">
      <c r="A763" s="34"/>
      <c r="B763" s="40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</row>
    <row r="764">
      <c r="A764" s="34"/>
      <c r="B764" s="40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</row>
    <row r="765">
      <c r="A765" s="34"/>
      <c r="B765" s="40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</row>
    <row r="766">
      <c r="A766" s="34"/>
      <c r="B766" s="40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</row>
    <row r="767">
      <c r="A767" s="34"/>
      <c r="B767" s="40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</row>
    <row r="768">
      <c r="A768" s="34"/>
      <c r="B768" s="40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</row>
    <row r="769">
      <c r="A769" s="34"/>
      <c r="B769" s="40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</row>
    <row r="770">
      <c r="A770" s="34"/>
      <c r="B770" s="40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</row>
    <row r="771">
      <c r="A771" s="34"/>
      <c r="B771" s="40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</row>
    <row r="772">
      <c r="A772" s="34"/>
      <c r="B772" s="40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</row>
    <row r="773">
      <c r="A773" s="34"/>
      <c r="B773" s="40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</row>
    <row r="774">
      <c r="A774" s="34"/>
      <c r="B774" s="40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</row>
    <row r="775">
      <c r="A775" s="34"/>
      <c r="B775" s="40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</row>
    <row r="776">
      <c r="A776" s="34"/>
      <c r="B776" s="40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</row>
    <row r="777">
      <c r="A777" s="34"/>
      <c r="B777" s="40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</row>
    <row r="778">
      <c r="A778" s="34"/>
      <c r="B778" s="40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</row>
    <row r="779">
      <c r="A779" s="34"/>
      <c r="B779" s="40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</row>
    <row r="780">
      <c r="A780" s="34"/>
      <c r="B780" s="40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</row>
    <row r="781">
      <c r="A781" s="34"/>
      <c r="B781" s="40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</row>
    <row r="782">
      <c r="A782" s="34"/>
      <c r="B782" s="40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</row>
    <row r="783">
      <c r="A783" s="34"/>
      <c r="B783" s="40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</row>
    <row r="784">
      <c r="A784" s="34"/>
      <c r="B784" s="40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</row>
    <row r="785">
      <c r="A785" s="34"/>
      <c r="B785" s="40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</row>
    <row r="786">
      <c r="A786" s="34"/>
      <c r="B786" s="40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</row>
    <row r="787">
      <c r="A787" s="34"/>
      <c r="B787" s="40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</row>
    <row r="788">
      <c r="A788" s="34"/>
      <c r="B788" s="40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</row>
    <row r="789">
      <c r="A789" s="34"/>
      <c r="B789" s="40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</row>
    <row r="790">
      <c r="A790" s="34"/>
      <c r="B790" s="40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</row>
    <row r="791">
      <c r="A791" s="34"/>
      <c r="B791" s="40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</row>
    <row r="792">
      <c r="A792" s="34"/>
      <c r="B792" s="40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</row>
    <row r="793">
      <c r="A793" s="34"/>
      <c r="B793" s="40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</row>
    <row r="794">
      <c r="A794" s="34"/>
      <c r="B794" s="40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</row>
    <row r="795">
      <c r="A795" s="34"/>
      <c r="B795" s="40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</row>
    <row r="796">
      <c r="A796" s="34"/>
      <c r="B796" s="40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</row>
    <row r="797">
      <c r="A797" s="34"/>
      <c r="B797" s="40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</row>
    <row r="798">
      <c r="A798" s="34"/>
      <c r="B798" s="40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</row>
    <row r="799">
      <c r="A799" s="34"/>
      <c r="B799" s="40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</row>
    <row r="800">
      <c r="A800" s="34"/>
      <c r="B800" s="40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</row>
    <row r="801">
      <c r="A801" s="34"/>
      <c r="B801" s="40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</row>
    <row r="802">
      <c r="A802" s="34"/>
      <c r="B802" s="40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</row>
    <row r="803">
      <c r="A803" s="34"/>
      <c r="B803" s="40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</row>
    <row r="804">
      <c r="A804" s="34"/>
      <c r="B804" s="40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</row>
    <row r="805">
      <c r="A805" s="34"/>
      <c r="B805" s="40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</row>
    <row r="806">
      <c r="A806" s="34"/>
      <c r="B806" s="40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</row>
    <row r="807">
      <c r="A807" s="34"/>
      <c r="B807" s="40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</row>
    <row r="808">
      <c r="A808" s="34"/>
      <c r="B808" s="40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</row>
    <row r="809">
      <c r="A809" s="34"/>
      <c r="B809" s="40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</row>
    <row r="810">
      <c r="A810" s="34"/>
      <c r="B810" s="40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</row>
    <row r="811">
      <c r="A811" s="34"/>
      <c r="B811" s="40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</row>
    <row r="812">
      <c r="A812" s="34"/>
      <c r="B812" s="40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</row>
    <row r="813">
      <c r="A813" s="34"/>
      <c r="B813" s="40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</row>
    <row r="814">
      <c r="A814" s="34"/>
      <c r="B814" s="40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</row>
    <row r="815">
      <c r="A815" s="34"/>
      <c r="B815" s="40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</row>
    <row r="816">
      <c r="A816" s="34"/>
      <c r="B816" s="40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</row>
    <row r="817">
      <c r="A817" s="34"/>
      <c r="B817" s="40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</row>
    <row r="818">
      <c r="A818" s="34"/>
      <c r="B818" s="40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</row>
    <row r="819">
      <c r="A819" s="34"/>
      <c r="B819" s="40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</row>
    <row r="820">
      <c r="A820" s="34"/>
      <c r="B820" s="40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</row>
    <row r="821">
      <c r="A821" s="34"/>
      <c r="B821" s="40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</row>
    <row r="822">
      <c r="A822" s="34"/>
      <c r="B822" s="40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</row>
    <row r="823">
      <c r="A823" s="34"/>
      <c r="B823" s="40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</row>
    <row r="824">
      <c r="A824" s="34"/>
      <c r="B824" s="40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</row>
    <row r="825">
      <c r="A825" s="34"/>
      <c r="B825" s="40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</row>
    <row r="826">
      <c r="A826" s="34"/>
      <c r="B826" s="40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</row>
    <row r="827">
      <c r="A827" s="34"/>
      <c r="B827" s="40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</row>
    <row r="828">
      <c r="A828" s="34"/>
      <c r="B828" s="40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</row>
    <row r="829">
      <c r="A829" s="34"/>
      <c r="B829" s="40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</row>
    <row r="830">
      <c r="A830" s="34"/>
      <c r="B830" s="40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</row>
    <row r="831">
      <c r="A831" s="34"/>
      <c r="B831" s="40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</row>
    <row r="832">
      <c r="A832" s="34"/>
      <c r="B832" s="40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</row>
    <row r="833">
      <c r="A833" s="34"/>
      <c r="B833" s="40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</row>
    <row r="834">
      <c r="A834" s="34"/>
      <c r="B834" s="40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</row>
    <row r="835">
      <c r="A835" s="34"/>
      <c r="B835" s="40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>
      <c r="A836" s="34"/>
      <c r="B836" s="40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</row>
    <row r="837">
      <c r="A837" s="34"/>
      <c r="B837" s="40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</row>
    <row r="838">
      <c r="A838" s="34"/>
      <c r="B838" s="40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</row>
    <row r="839">
      <c r="A839" s="34"/>
      <c r="B839" s="40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</row>
    <row r="840">
      <c r="A840" s="34"/>
      <c r="B840" s="40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</row>
    <row r="841">
      <c r="A841" s="34"/>
      <c r="B841" s="40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</row>
    <row r="842">
      <c r="A842" s="34"/>
      <c r="B842" s="40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</row>
    <row r="843">
      <c r="A843" s="34"/>
      <c r="B843" s="40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</row>
    <row r="844">
      <c r="A844" s="34"/>
      <c r="B844" s="40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</row>
    <row r="845">
      <c r="A845" s="34"/>
      <c r="B845" s="40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</row>
    <row r="846">
      <c r="A846" s="34"/>
      <c r="B846" s="40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</row>
    <row r="847">
      <c r="A847" s="34"/>
      <c r="B847" s="40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</row>
    <row r="848">
      <c r="A848" s="34"/>
      <c r="B848" s="40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>
      <c r="A849" s="34"/>
      <c r="B849" s="40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</row>
    <row r="850">
      <c r="A850" s="34"/>
      <c r="B850" s="40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</row>
    <row r="851">
      <c r="A851" s="34"/>
      <c r="B851" s="40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</row>
    <row r="852">
      <c r="A852" s="34"/>
      <c r="B852" s="40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</row>
    <row r="853">
      <c r="A853" s="34"/>
      <c r="B853" s="40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</row>
    <row r="854">
      <c r="A854" s="34"/>
      <c r="B854" s="40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</row>
    <row r="855">
      <c r="A855" s="34"/>
      <c r="B855" s="40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</row>
    <row r="856">
      <c r="A856" s="34"/>
      <c r="B856" s="40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</row>
    <row r="857">
      <c r="A857" s="34"/>
      <c r="B857" s="40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</row>
    <row r="858">
      <c r="A858" s="34"/>
      <c r="B858" s="40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</row>
    <row r="859">
      <c r="A859" s="34"/>
      <c r="B859" s="40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</row>
    <row r="860">
      <c r="A860" s="34"/>
      <c r="B860" s="40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</row>
    <row r="861">
      <c r="A861" s="34"/>
      <c r="B861" s="40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</row>
    <row r="862">
      <c r="A862" s="34"/>
      <c r="B862" s="40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</row>
    <row r="863">
      <c r="A863" s="34"/>
      <c r="B863" s="40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</row>
    <row r="864">
      <c r="A864" s="34"/>
      <c r="B864" s="40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</row>
    <row r="865">
      <c r="A865" s="34"/>
      <c r="B865" s="40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>
      <c r="A866" s="34"/>
      <c r="B866" s="40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</row>
    <row r="867">
      <c r="A867" s="34"/>
      <c r="B867" s="40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</row>
    <row r="868">
      <c r="A868" s="34"/>
      <c r="B868" s="40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</row>
    <row r="869">
      <c r="A869" s="34"/>
      <c r="B869" s="40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</row>
    <row r="870">
      <c r="A870" s="34"/>
      <c r="B870" s="40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</row>
    <row r="871">
      <c r="A871" s="34"/>
      <c r="B871" s="40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</row>
    <row r="872">
      <c r="A872" s="34"/>
      <c r="B872" s="40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</row>
    <row r="873">
      <c r="A873" s="34"/>
      <c r="B873" s="40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</row>
    <row r="874">
      <c r="A874" s="34"/>
      <c r="B874" s="40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</row>
    <row r="875">
      <c r="A875" s="34"/>
      <c r="B875" s="40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</row>
    <row r="876">
      <c r="A876" s="34"/>
      <c r="B876" s="40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</row>
    <row r="877">
      <c r="A877" s="34"/>
      <c r="B877" s="40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</row>
    <row r="878">
      <c r="A878" s="34"/>
      <c r="B878" s="40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</row>
    <row r="879">
      <c r="A879" s="34"/>
      <c r="B879" s="40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</row>
    <row r="880">
      <c r="A880" s="34"/>
      <c r="B880" s="40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</row>
    <row r="881">
      <c r="A881" s="34"/>
      <c r="B881" s="40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</row>
    <row r="882">
      <c r="A882" s="34"/>
      <c r="B882" s="40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</row>
    <row r="883">
      <c r="A883" s="34"/>
      <c r="B883" s="40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</row>
    <row r="884">
      <c r="A884" s="34"/>
      <c r="B884" s="40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</row>
    <row r="885">
      <c r="A885" s="34"/>
      <c r="B885" s="40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</row>
    <row r="886">
      <c r="A886" s="34"/>
      <c r="B886" s="40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</row>
    <row r="887">
      <c r="A887" s="34"/>
      <c r="B887" s="40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</row>
    <row r="888">
      <c r="A888" s="34"/>
      <c r="B888" s="40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</row>
    <row r="889">
      <c r="A889" s="34"/>
      <c r="B889" s="40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</row>
    <row r="890">
      <c r="A890" s="34"/>
      <c r="B890" s="40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</row>
    <row r="891">
      <c r="A891" s="34"/>
      <c r="B891" s="40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</row>
    <row r="892">
      <c r="A892" s="34"/>
      <c r="B892" s="40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</row>
    <row r="893">
      <c r="A893" s="34"/>
      <c r="B893" s="40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</row>
    <row r="894">
      <c r="A894" s="34"/>
      <c r="B894" s="40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</row>
    <row r="895">
      <c r="A895" s="34"/>
      <c r="B895" s="40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</row>
    <row r="896">
      <c r="A896" s="34"/>
      <c r="B896" s="40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</row>
    <row r="897">
      <c r="A897" s="34"/>
      <c r="B897" s="40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</row>
    <row r="898">
      <c r="A898" s="34"/>
      <c r="B898" s="40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</row>
    <row r="899">
      <c r="A899" s="34"/>
      <c r="B899" s="40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</row>
    <row r="900">
      <c r="A900" s="34"/>
      <c r="B900" s="40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</row>
    <row r="901">
      <c r="A901" s="34"/>
      <c r="B901" s="40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</row>
    <row r="902">
      <c r="A902" s="34"/>
      <c r="B902" s="40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</row>
    <row r="903">
      <c r="A903" s="34"/>
      <c r="B903" s="40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</row>
    <row r="904">
      <c r="A904" s="34"/>
      <c r="B904" s="40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</row>
    <row r="905">
      <c r="A905" s="34"/>
      <c r="B905" s="40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</row>
    <row r="906">
      <c r="A906" s="34"/>
      <c r="B906" s="40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</row>
    <row r="907">
      <c r="A907" s="34"/>
      <c r="B907" s="40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</row>
    <row r="908">
      <c r="A908" s="34"/>
      <c r="B908" s="40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</row>
    <row r="909">
      <c r="A909" s="34"/>
      <c r="B909" s="40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</row>
    <row r="910">
      <c r="A910" s="34"/>
      <c r="B910" s="40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</row>
    <row r="911">
      <c r="A911" s="34"/>
      <c r="B911" s="40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</row>
    <row r="912">
      <c r="A912" s="34"/>
      <c r="B912" s="40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</row>
    <row r="913">
      <c r="A913" s="34"/>
      <c r="B913" s="40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</row>
    <row r="914">
      <c r="A914" s="34"/>
      <c r="B914" s="40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</row>
    <row r="915">
      <c r="A915" s="34"/>
      <c r="B915" s="40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</row>
    <row r="916">
      <c r="A916" s="34"/>
      <c r="B916" s="40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</row>
    <row r="917">
      <c r="A917" s="34"/>
      <c r="B917" s="40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</row>
    <row r="918">
      <c r="A918" s="34"/>
      <c r="B918" s="40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</row>
    <row r="919">
      <c r="A919" s="34"/>
      <c r="B919" s="40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>
      <c r="A920" s="34"/>
      <c r="B920" s="40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</row>
    <row r="921">
      <c r="A921" s="34"/>
      <c r="B921" s="40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</row>
    <row r="922">
      <c r="A922" s="34"/>
      <c r="B922" s="40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</row>
    <row r="923">
      <c r="A923" s="34"/>
      <c r="B923" s="40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</row>
    <row r="924">
      <c r="A924" s="34"/>
      <c r="B924" s="40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</row>
    <row r="925">
      <c r="A925" s="34"/>
      <c r="B925" s="40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</row>
    <row r="926">
      <c r="A926" s="34"/>
      <c r="B926" s="40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</row>
    <row r="927">
      <c r="A927" s="34"/>
      <c r="B927" s="40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</row>
    <row r="928">
      <c r="A928" s="34"/>
      <c r="B928" s="40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</row>
    <row r="929">
      <c r="A929" s="34"/>
      <c r="B929" s="40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</row>
    <row r="930">
      <c r="A930" s="34"/>
      <c r="B930" s="40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</row>
    <row r="931">
      <c r="A931" s="34"/>
      <c r="B931" s="40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</row>
    <row r="932">
      <c r="A932" s="34"/>
      <c r="B932" s="40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</row>
    <row r="933">
      <c r="A933" s="34"/>
      <c r="B933" s="40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</row>
    <row r="934">
      <c r="A934" s="34"/>
      <c r="B934" s="40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</row>
    <row r="935">
      <c r="A935" s="34"/>
      <c r="B935" s="40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</row>
    <row r="936">
      <c r="A936" s="34"/>
      <c r="B936" s="40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</row>
    <row r="937">
      <c r="A937" s="34"/>
      <c r="B937" s="40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</row>
    <row r="938">
      <c r="A938" s="34"/>
      <c r="B938" s="40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</row>
    <row r="939">
      <c r="A939" s="34"/>
      <c r="B939" s="40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</row>
    <row r="940">
      <c r="A940" s="34"/>
      <c r="B940" s="40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</row>
    <row r="941">
      <c r="A941" s="34"/>
      <c r="B941" s="40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</row>
    <row r="942">
      <c r="A942" s="34"/>
      <c r="B942" s="40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</row>
    <row r="943">
      <c r="A943" s="34"/>
      <c r="B943" s="40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</row>
    <row r="944">
      <c r="A944" s="34"/>
      <c r="B944" s="40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</row>
    <row r="945">
      <c r="A945" s="34"/>
      <c r="B945" s="40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</row>
    <row r="946">
      <c r="A946" s="34"/>
      <c r="B946" s="40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</row>
    <row r="947">
      <c r="A947" s="34"/>
      <c r="B947" s="40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</row>
    <row r="948">
      <c r="A948" s="34"/>
      <c r="B948" s="40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</row>
    <row r="949">
      <c r="A949" s="34"/>
      <c r="B949" s="40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</row>
    <row r="950">
      <c r="A950" s="34"/>
      <c r="B950" s="40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</row>
    <row r="951">
      <c r="A951" s="34"/>
      <c r="B951" s="40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</row>
    <row r="952">
      <c r="A952" s="34"/>
      <c r="B952" s="40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</row>
    <row r="953">
      <c r="A953" s="34"/>
      <c r="B953" s="40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</row>
    <row r="954">
      <c r="A954" s="34"/>
      <c r="B954" s="40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</row>
    <row r="955">
      <c r="A955" s="34"/>
      <c r="B955" s="40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</row>
    <row r="956">
      <c r="A956" s="34"/>
      <c r="B956" s="40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>
      <c r="A957" s="34"/>
      <c r="B957" s="40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</row>
    <row r="958">
      <c r="A958" s="34"/>
      <c r="B958" s="40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</row>
    <row r="959">
      <c r="A959" s="34"/>
      <c r="B959" s="40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</row>
    <row r="960">
      <c r="A960" s="34"/>
      <c r="B960" s="40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</row>
    <row r="961">
      <c r="A961" s="34"/>
      <c r="B961" s="40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</row>
    <row r="962">
      <c r="A962" s="34"/>
      <c r="B962" s="40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</row>
    <row r="963">
      <c r="A963" s="34"/>
      <c r="B963" s="40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</row>
    <row r="964">
      <c r="A964" s="34"/>
      <c r="B964" s="40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</row>
    <row r="965">
      <c r="A965" s="34"/>
      <c r="B965" s="40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</row>
    <row r="966">
      <c r="A966" s="34"/>
      <c r="B966" s="40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</row>
    <row r="967">
      <c r="A967" s="34"/>
      <c r="B967" s="40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</row>
    <row r="968">
      <c r="A968" s="34"/>
      <c r="B968" s="40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</row>
    <row r="969">
      <c r="A969" s="34"/>
      <c r="B969" s="40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</row>
    <row r="970">
      <c r="A970" s="34"/>
      <c r="B970" s="40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</row>
    <row r="971">
      <c r="A971" s="34"/>
      <c r="B971" s="40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</row>
    <row r="972">
      <c r="A972" s="34"/>
      <c r="B972" s="40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</row>
    <row r="973">
      <c r="A973" s="34"/>
      <c r="B973" s="40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</row>
    <row r="974">
      <c r="A974" s="34"/>
      <c r="B974" s="40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</row>
    <row r="975">
      <c r="A975" s="34"/>
      <c r="B975" s="40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</row>
    <row r="976">
      <c r="A976" s="34"/>
      <c r="B976" s="40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</row>
    <row r="977">
      <c r="A977" s="34"/>
      <c r="B977" s="40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</row>
    <row r="978">
      <c r="A978" s="34"/>
      <c r="B978" s="40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</row>
    <row r="979">
      <c r="A979" s="34"/>
      <c r="B979" s="40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</row>
    <row r="980">
      <c r="A980" s="34"/>
      <c r="B980" s="40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</row>
    <row r="981">
      <c r="A981" s="34"/>
      <c r="B981" s="40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</row>
    <row r="982">
      <c r="A982" s="34"/>
      <c r="B982" s="40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</row>
    <row r="983">
      <c r="A983" s="34"/>
      <c r="B983" s="40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</row>
    <row r="984">
      <c r="A984" s="34"/>
      <c r="B984" s="40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</row>
    <row r="985">
      <c r="A985" s="34"/>
      <c r="B985" s="40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</row>
    <row r="986">
      <c r="A986" s="34"/>
      <c r="B986" s="40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</row>
    <row r="987">
      <c r="A987" s="34"/>
      <c r="B987" s="40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</row>
    <row r="988">
      <c r="A988" s="34"/>
      <c r="B988" s="40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</row>
    <row r="989">
      <c r="A989" s="34"/>
      <c r="B989" s="40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</row>
    <row r="990">
      <c r="A990" s="34"/>
      <c r="B990" s="40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</row>
    <row r="991">
      <c r="A991" s="34"/>
      <c r="B991" s="40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</row>
    <row r="992">
      <c r="A992" s="34"/>
      <c r="B992" s="40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</row>
    <row r="993">
      <c r="A993" s="34"/>
      <c r="B993" s="40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</row>
    <row r="994">
      <c r="A994" s="34"/>
      <c r="B994" s="40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</row>
    <row r="995">
      <c r="A995" s="34"/>
      <c r="B995" s="40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</row>
    <row r="996">
      <c r="A996" s="34"/>
      <c r="B996" s="40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</row>
    <row r="997">
      <c r="A997" s="34"/>
      <c r="B997" s="40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</row>
    <row r="998">
      <c r="A998" s="34"/>
      <c r="B998" s="40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</row>
    <row r="999">
      <c r="A999" s="34"/>
      <c r="B999" s="40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</row>
    <row r="1000">
      <c r="A1000" s="34"/>
      <c r="B1000" s="40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41" t="s">
        <v>10</v>
      </c>
      <c r="B1" s="42" t="s">
        <v>94</v>
      </c>
      <c r="C1" s="41" t="s">
        <v>12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">
        <v>95</v>
      </c>
      <c r="B2" s="45" t="s">
        <v>96</v>
      </c>
      <c r="C2" s="44" t="s">
        <v>91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6" t="s">
        <v>97</v>
      </c>
      <c r="B3" s="47" t="s">
        <v>98</v>
      </c>
      <c r="C3" s="46" t="s">
        <v>41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6" t="s">
        <v>97</v>
      </c>
      <c r="B4" s="47" t="s">
        <v>98</v>
      </c>
      <c r="C4" s="46" t="s">
        <v>76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6" t="s">
        <v>97</v>
      </c>
      <c r="B5" s="47" t="s">
        <v>98</v>
      </c>
      <c r="C5" s="46" t="s">
        <v>81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6" t="s">
        <v>97</v>
      </c>
      <c r="B6" s="47" t="s">
        <v>99</v>
      </c>
      <c r="C6" s="48" t="s">
        <v>41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6" t="s">
        <v>97</v>
      </c>
      <c r="B7" s="47" t="s">
        <v>99</v>
      </c>
      <c r="C7" s="46" t="s">
        <v>76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6" t="s">
        <v>97</v>
      </c>
      <c r="B8" s="47" t="s">
        <v>99</v>
      </c>
      <c r="C8" s="46" t="s">
        <v>81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9" t="s">
        <v>97</v>
      </c>
      <c r="B9" s="50" t="s">
        <v>100</v>
      </c>
      <c r="C9" s="49" t="s">
        <v>41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9" t="s">
        <v>97</v>
      </c>
      <c r="B10" s="50" t="s">
        <v>100</v>
      </c>
      <c r="C10" s="49" t="s">
        <v>76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9" t="s">
        <v>97</v>
      </c>
      <c r="B11" s="50" t="s">
        <v>100</v>
      </c>
      <c r="C11" s="49" t="s">
        <v>81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9" t="s">
        <v>97</v>
      </c>
      <c r="B12" s="50" t="s">
        <v>101</v>
      </c>
      <c r="C12" s="49" t="s">
        <v>41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9" t="s">
        <v>97</v>
      </c>
      <c r="B13" s="50" t="s">
        <v>101</v>
      </c>
      <c r="C13" s="49" t="s">
        <v>76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9" t="s">
        <v>97</v>
      </c>
      <c r="B14" s="50" t="s">
        <v>101</v>
      </c>
      <c r="C14" s="49" t="s">
        <v>81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6" t="s">
        <v>102</v>
      </c>
      <c r="B15" s="51" t="s">
        <v>103</v>
      </c>
      <c r="C15" s="6" t="s">
        <v>23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6" t="s">
        <v>102</v>
      </c>
      <c r="B16" s="51" t="s">
        <v>103</v>
      </c>
      <c r="C16" s="6" t="s">
        <v>7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6" t="s">
        <v>102</v>
      </c>
      <c r="B17" s="51" t="s">
        <v>103</v>
      </c>
      <c r="C17" s="6" t="s">
        <v>41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6" t="s">
        <v>102</v>
      </c>
      <c r="B18" s="51" t="s">
        <v>104</v>
      </c>
      <c r="C18" s="6" t="s">
        <v>23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6" t="s">
        <v>102</v>
      </c>
      <c r="B19" s="51" t="s">
        <v>104</v>
      </c>
      <c r="C19" s="6" t="s">
        <v>7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6" t="s">
        <v>102</v>
      </c>
      <c r="B20" s="51" t="s">
        <v>104</v>
      </c>
      <c r="C20" s="6" t="s">
        <v>41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6" t="s">
        <v>102</v>
      </c>
      <c r="B21" s="51" t="s">
        <v>105</v>
      </c>
      <c r="C21" s="6" t="s">
        <v>23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6" t="s">
        <v>102</v>
      </c>
      <c r="B22" s="51" t="s">
        <v>105</v>
      </c>
      <c r="C22" s="6" t="s">
        <v>7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6" t="s">
        <v>102</v>
      </c>
      <c r="B23" s="51" t="s">
        <v>105</v>
      </c>
      <c r="C23" s="6" t="s">
        <v>41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6" t="s">
        <v>102</v>
      </c>
      <c r="B24" s="51" t="s">
        <v>106</v>
      </c>
      <c r="C24" s="6" t="s">
        <v>23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6" t="s">
        <v>102</v>
      </c>
      <c r="B25" s="51" t="s">
        <v>106</v>
      </c>
      <c r="C25" s="6" t="s">
        <v>7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6" t="s">
        <v>102</v>
      </c>
      <c r="B26" s="51" t="s">
        <v>106</v>
      </c>
      <c r="C26" s="6" t="s">
        <v>41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6" t="s">
        <v>102</v>
      </c>
      <c r="B27" s="51" t="s">
        <v>107</v>
      </c>
      <c r="C27" s="6" t="s">
        <v>23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6" t="s">
        <v>102</v>
      </c>
      <c r="B28" s="51" t="s">
        <v>107</v>
      </c>
      <c r="C28" s="6" t="s">
        <v>7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6" t="s">
        <v>102</v>
      </c>
      <c r="B29" s="51" t="s">
        <v>107</v>
      </c>
      <c r="C29" s="6" t="s">
        <v>41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6" t="s">
        <v>102</v>
      </c>
      <c r="B30" s="51" t="s">
        <v>108</v>
      </c>
      <c r="C30" s="6" t="s">
        <v>23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6" t="s">
        <v>102</v>
      </c>
      <c r="B31" s="51" t="s">
        <v>108</v>
      </c>
      <c r="C31" s="6" t="s">
        <v>7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6" t="s">
        <v>102</v>
      </c>
      <c r="B32" s="51" t="s">
        <v>108</v>
      </c>
      <c r="C32" s="6" t="s">
        <v>41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6" t="s">
        <v>102</v>
      </c>
      <c r="B33" s="51" t="s">
        <v>109</v>
      </c>
      <c r="C33" s="6" t="s">
        <v>23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6" t="s">
        <v>102</v>
      </c>
      <c r="B34" s="51" t="s">
        <v>109</v>
      </c>
      <c r="C34" s="6" t="s">
        <v>7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6" t="s">
        <v>102</v>
      </c>
      <c r="B35" s="51" t="s">
        <v>109</v>
      </c>
      <c r="C35" s="6" t="s">
        <v>41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6" t="s">
        <v>102</v>
      </c>
      <c r="B36" s="51" t="s">
        <v>110</v>
      </c>
      <c r="C36" s="6" t="s">
        <v>23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6" t="s">
        <v>102</v>
      </c>
      <c r="B37" s="51" t="s">
        <v>110</v>
      </c>
      <c r="C37" s="6" t="s">
        <v>7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6" t="s">
        <v>102</v>
      </c>
      <c r="B38" s="51" t="s">
        <v>110</v>
      </c>
      <c r="C38" s="6" t="s">
        <v>41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6" t="s">
        <v>102</v>
      </c>
      <c r="B39" s="51" t="s">
        <v>111</v>
      </c>
      <c r="C39" s="6" t="s">
        <v>23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6" t="s">
        <v>102</v>
      </c>
      <c r="B40" s="51" t="s">
        <v>111</v>
      </c>
      <c r="C40" s="6" t="s">
        <v>7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6" t="s">
        <v>102</v>
      </c>
      <c r="B41" s="51" t="s">
        <v>111</v>
      </c>
      <c r="C41" s="6" t="s">
        <v>41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6" t="s">
        <v>102</v>
      </c>
      <c r="B42" s="51" t="s">
        <v>112</v>
      </c>
      <c r="C42" s="6" t="s">
        <v>23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6" t="s">
        <v>102</v>
      </c>
      <c r="B43" s="51" t="s">
        <v>112</v>
      </c>
      <c r="C43" s="6" t="s">
        <v>7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6" t="s">
        <v>102</v>
      </c>
      <c r="B44" s="51" t="s">
        <v>112</v>
      </c>
      <c r="C44" s="6" t="s">
        <v>41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6" t="s">
        <v>102</v>
      </c>
      <c r="B45" s="51" t="s">
        <v>113</v>
      </c>
      <c r="C45" s="6" t="s">
        <v>23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6" t="s">
        <v>102</v>
      </c>
      <c r="B46" s="51" t="s">
        <v>113</v>
      </c>
      <c r="C46" s="6" t="s">
        <v>7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6" t="s">
        <v>102</v>
      </c>
      <c r="B47" s="51" t="s">
        <v>113</v>
      </c>
      <c r="C47" s="6" t="s">
        <v>41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6" t="s">
        <v>102</v>
      </c>
      <c r="B48" s="51" t="s">
        <v>114</v>
      </c>
      <c r="C48" s="6" t="s">
        <v>23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6" t="s">
        <v>102</v>
      </c>
      <c r="B49" s="51" t="s">
        <v>114</v>
      </c>
      <c r="C49" s="6" t="s">
        <v>7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6" t="s">
        <v>102</v>
      </c>
      <c r="B50" s="51" t="s">
        <v>114</v>
      </c>
      <c r="C50" s="6" t="s">
        <v>41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6" t="s">
        <v>102</v>
      </c>
      <c r="B51" s="51" t="s">
        <v>115</v>
      </c>
      <c r="C51" s="6" t="s">
        <v>23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6" t="s">
        <v>102</v>
      </c>
      <c r="B52" s="51" t="s">
        <v>115</v>
      </c>
      <c r="C52" s="6" t="s">
        <v>7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6" t="s">
        <v>102</v>
      </c>
      <c r="B53" s="51" t="s">
        <v>115</v>
      </c>
      <c r="C53" s="6" t="s">
        <v>41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12" t="s">
        <v>116</v>
      </c>
      <c r="B54" s="52" t="s">
        <v>117</v>
      </c>
      <c r="C54" s="12" t="s">
        <v>20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12" t="s">
        <v>116</v>
      </c>
      <c r="B55" s="52" t="s">
        <v>117</v>
      </c>
      <c r="C55" s="12" t="s">
        <v>23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12" t="s">
        <v>116</v>
      </c>
      <c r="B56" s="52" t="s">
        <v>117</v>
      </c>
      <c r="C56" s="12" t="s">
        <v>25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12" t="s">
        <v>116</v>
      </c>
      <c r="B57" s="52" t="s">
        <v>118</v>
      </c>
      <c r="C57" s="12" t="s">
        <v>20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12" t="s">
        <v>116</v>
      </c>
      <c r="B58" s="52" t="s">
        <v>118</v>
      </c>
      <c r="C58" s="12" t="s">
        <v>23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12" t="s">
        <v>116</v>
      </c>
      <c r="B59" s="52" t="s">
        <v>118</v>
      </c>
      <c r="C59" s="12" t="s">
        <v>25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12" t="s">
        <v>116</v>
      </c>
      <c r="B60" s="52" t="s">
        <v>119</v>
      </c>
      <c r="C60" s="12" t="s">
        <v>20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12" t="s">
        <v>116</v>
      </c>
      <c r="B61" s="52" t="s">
        <v>119</v>
      </c>
      <c r="C61" s="12" t="s">
        <v>23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12" t="s">
        <v>116</v>
      </c>
      <c r="B62" s="52" t="s">
        <v>119</v>
      </c>
      <c r="C62" s="12" t="s">
        <v>25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53" t="s">
        <v>120</v>
      </c>
      <c r="B63" s="54" t="s">
        <v>121</v>
      </c>
      <c r="C63" s="53" t="s">
        <v>20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53" t="s">
        <v>120</v>
      </c>
      <c r="B64" s="54" t="s">
        <v>121</v>
      </c>
      <c r="C64" s="53" t="s">
        <v>7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53" t="s">
        <v>120</v>
      </c>
      <c r="B65" s="54" t="s">
        <v>121</v>
      </c>
      <c r="C65" s="53" t="s">
        <v>81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53" t="s">
        <v>120</v>
      </c>
      <c r="B66" s="54" t="s">
        <v>122</v>
      </c>
      <c r="C66" s="53" t="s">
        <v>20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53" t="s">
        <v>120</v>
      </c>
      <c r="B67" s="54" t="s">
        <v>122</v>
      </c>
      <c r="C67" s="53" t="s">
        <v>7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53" t="s">
        <v>120</v>
      </c>
      <c r="B68" s="54" t="s">
        <v>122</v>
      </c>
      <c r="C68" s="53" t="s">
        <v>81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53" t="s">
        <v>120</v>
      </c>
      <c r="B69" s="54" t="s">
        <v>123</v>
      </c>
      <c r="C69" s="53" t="s">
        <v>20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53" t="s">
        <v>120</v>
      </c>
      <c r="B70" s="54" t="s">
        <v>123</v>
      </c>
      <c r="C70" s="53" t="s">
        <v>7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53" t="s">
        <v>120</v>
      </c>
      <c r="B71" s="54" t="s">
        <v>123</v>
      </c>
      <c r="C71" s="53" t="s">
        <v>81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53" t="s">
        <v>120</v>
      </c>
      <c r="B72" s="54" t="s">
        <v>124</v>
      </c>
      <c r="C72" s="53" t="s">
        <v>20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53" t="s">
        <v>120</v>
      </c>
      <c r="B73" s="54" t="s">
        <v>124</v>
      </c>
      <c r="C73" s="53" t="s">
        <v>7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53" t="s">
        <v>120</v>
      </c>
      <c r="B74" s="54" t="s">
        <v>124</v>
      </c>
      <c r="C74" s="53" t="s">
        <v>81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53" t="s">
        <v>120</v>
      </c>
      <c r="B75" s="54" t="s">
        <v>125</v>
      </c>
      <c r="C75" s="53" t="s">
        <v>20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53" t="s">
        <v>120</v>
      </c>
      <c r="B76" s="54" t="s">
        <v>125</v>
      </c>
      <c r="C76" s="53" t="s">
        <v>7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53" t="s">
        <v>120</v>
      </c>
      <c r="B77" s="54" t="s">
        <v>125</v>
      </c>
      <c r="C77" s="53" t="s">
        <v>81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53" t="s">
        <v>120</v>
      </c>
      <c r="B78" s="54" t="s">
        <v>126</v>
      </c>
      <c r="C78" s="53" t="s">
        <v>20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53" t="s">
        <v>120</v>
      </c>
      <c r="B79" s="54" t="s">
        <v>126</v>
      </c>
      <c r="C79" s="53" t="s">
        <v>7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53" t="s">
        <v>120</v>
      </c>
      <c r="B80" s="54" t="s">
        <v>126</v>
      </c>
      <c r="C80" s="53" t="s">
        <v>81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53" t="s">
        <v>120</v>
      </c>
      <c r="B81" s="54" t="s">
        <v>127</v>
      </c>
      <c r="C81" s="53" t="s">
        <v>20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53" t="s">
        <v>120</v>
      </c>
      <c r="B82" s="54" t="s">
        <v>127</v>
      </c>
      <c r="C82" s="53" t="s">
        <v>7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53" t="s">
        <v>120</v>
      </c>
      <c r="B83" s="54" t="s">
        <v>127</v>
      </c>
      <c r="C83" s="53" t="s">
        <v>81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53" t="s">
        <v>120</v>
      </c>
      <c r="B84" s="54" t="s">
        <v>128</v>
      </c>
      <c r="C84" s="53" t="s">
        <v>20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53" t="s">
        <v>120</v>
      </c>
      <c r="B85" s="54" t="s">
        <v>128</v>
      </c>
      <c r="C85" s="53" t="s">
        <v>7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53" t="s">
        <v>120</v>
      </c>
      <c r="B86" s="54" t="s">
        <v>128</v>
      </c>
      <c r="C86" s="53" t="s">
        <v>81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53" t="s">
        <v>120</v>
      </c>
      <c r="B87" s="54" t="s">
        <v>129</v>
      </c>
      <c r="C87" s="53" t="s">
        <v>20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53" t="s">
        <v>120</v>
      </c>
      <c r="B88" s="54" t="s">
        <v>129</v>
      </c>
      <c r="C88" s="53" t="s">
        <v>7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53" t="s">
        <v>120</v>
      </c>
      <c r="B89" s="54" t="s">
        <v>129</v>
      </c>
      <c r="C89" s="53" t="s">
        <v>81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53" t="s">
        <v>120</v>
      </c>
      <c r="B90" s="54" t="s">
        <v>130</v>
      </c>
      <c r="C90" s="53" t="s">
        <v>20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53" t="s">
        <v>120</v>
      </c>
      <c r="B91" s="54" t="s">
        <v>130</v>
      </c>
      <c r="C91" s="53" t="s">
        <v>7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53" t="s">
        <v>120</v>
      </c>
      <c r="B92" s="54" t="s">
        <v>130</v>
      </c>
      <c r="C92" s="53" t="s">
        <v>81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53" t="s">
        <v>120</v>
      </c>
      <c r="B93" s="54" t="s">
        <v>131</v>
      </c>
      <c r="C93" s="53" t="s">
        <v>20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53" t="s">
        <v>120</v>
      </c>
      <c r="B94" s="54" t="s">
        <v>131</v>
      </c>
      <c r="C94" s="53" t="s">
        <v>7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53" t="s">
        <v>120</v>
      </c>
      <c r="B95" s="54" t="s">
        <v>131</v>
      </c>
      <c r="C95" s="53" t="s">
        <v>81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53" t="s">
        <v>120</v>
      </c>
      <c r="B96" s="54" t="s">
        <v>132</v>
      </c>
      <c r="C96" s="53" t="s">
        <v>20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53" t="s">
        <v>120</v>
      </c>
      <c r="B97" s="54" t="s">
        <v>132</v>
      </c>
      <c r="C97" s="53" t="s">
        <v>7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53" t="s">
        <v>120</v>
      </c>
      <c r="B98" s="54" t="s">
        <v>132</v>
      </c>
      <c r="C98" s="53" t="s">
        <v>81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53" t="s">
        <v>120</v>
      </c>
      <c r="B99" s="54" t="s">
        <v>133</v>
      </c>
      <c r="C99" s="53" t="s">
        <v>20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53" t="s">
        <v>120</v>
      </c>
      <c r="B100" s="54" t="s">
        <v>133</v>
      </c>
      <c r="C100" s="53" t="s">
        <v>7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53" t="s">
        <v>120</v>
      </c>
      <c r="B101" s="54" t="s">
        <v>133</v>
      </c>
      <c r="C101" s="53" t="s">
        <v>81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53" t="s">
        <v>120</v>
      </c>
      <c r="B102" s="54" t="s">
        <v>134</v>
      </c>
      <c r="C102" s="53" t="s">
        <v>20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53" t="s">
        <v>120</v>
      </c>
      <c r="B103" s="54" t="s">
        <v>134</v>
      </c>
      <c r="C103" s="53" t="s">
        <v>7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53" t="s">
        <v>120</v>
      </c>
      <c r="B104" s="54" t="s">
        <v>134</v>
      </c>
      <c r="C104" s="53" t="s">
        <v>81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53" t="s">
        <v>120</v>
      </c>
      <c r="B105" s="54" t="s">
        <v>135</v>
      </c>
      <c r="C105" s="53" t="s">
        <v>20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53" t="s">
        <v>120</v>
      </c>
      <c r="B106" s="54" t="s">
        <v>135</v>
      </c>
      <c r="C106" s="53" t="s">
        <v>7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53" t="s">
        <v>120</v>
      </c>
      <c r="B107" s="54" t="s">
        <v>135</v>
      </c>
      <c r="C107" s="53" t="s">
        <v>81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53" t="s">
        <v>120</v>
      </c>
      <c r="B108" s="54" t="s">
        <v>136</v>
      </c>
      <c r="C108" s="53" t="s">
        <v>20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53" t="s">
        <v>120</v>
      </c>
      <c r="B109" s="54" t="s">
        <v>136</v>
      </c>
      <c r="C109" s="53" t="s">
        <v>7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53" t="s">
        <v>120</v>
      </c>
      <c r="B110" s="54" t="s">
        <v>136</v>
      </c>
      <c r="C110" s="53" t="s">
        <v>81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53" t="s">
        <v>120</v>
      </c>
      <c r="B111" s="54" t="s">
        <v>137</v>
      </c>
      <c r="C111" s="53" t="s">
        <v>20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53" t="s">
        <v>120</v>
      </c>
      <c r="B112" s="54" t="s">
        <v>137</v>
      </c>
      <c r="C112" s="53" t="s">
        <v>7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53" t="s">
        <v>120</v>
      </c>
      <c r="B113" s="54" t="s">
        <v>137</v>
      </c>
      <c r="C113" s="53" t="s">
        <v>81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53" t="s">
        <v>120</v>
      </c>
      <c r="B114" s="54" t="s">
        <v>138</v>
      </c>
      <c r="C114" s="53" t="s">
        <v>20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53" t="s">
        <v>120</v>
      </c>
      <c r="B115" s="54" t="s">
        <v>138</v>
      </c>
      <c r="C115" s="53" t="s">
        <v>7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53" t="s">
        <v>120</v>
      </c>
      <c r="B116" s="54" t="s">
        <v>138</v>
      </c>
      <c r="C116" s="53" t="s">
        <v>81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53" t="s">
        <v>120</v>
      </c>
      <c r="B117" s="54" t="s">
        <v>139</v>
      </c>
      <c r="C117" s="53" t="s">
        <v>20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53" t="s">
        <v>120</v>
      </c>
      <c r="B118" s="54" t="s">
        <v>139</v>
      </c>
      <c r="C118" s="53" t="s">
        <v>7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53" t="s">
        <v>120</v>
      </c>
      <c r="B119" s="54" t="s">
        <v>139</v>
      </c>
      <c r="C119" s="53" t="s">
        <v>81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53" t="s">
        <v>120</v>
      </c>
      <c r="B120" s="54" t="s">
        <v>140</v>
      </c>
      <c r="C120" s="53" t="s">
        <v>20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53" t="s">
        <v>120</v>
      </c>
      <c r="B121" s="54" t="s">
        <v>140</v>
      </c>
      <c r="C121" s="53" t="s">
        <v>7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53" t="s">
        <v>120</v>
      </c>
      <c r="B122" s="54" t="s">
        <v>140</v>
      </c>
      <c r="C122" s="53" t="s">
        <v>81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53" t="s">
        <v>120</v>
      </c>
      <c r="B123" s="54" t="s">
        <v>141</v>
      </c>
      <c r="C123" s="53" t="s">
        <v>20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53" t="s">
        <v>120</v>
      </c>
      <c r="B124" s="54" t="s">
        <v>141</v>
      </c>
      <c r="C124" s="53" t="s">
        <v>7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53" t="s">
        <v>120</v>
      </c>
      <c r="B125" s="54" t="s">
        <v>141</v>
      </c>
      <c r="C125" s="53" t="s">
        <v>81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53" t="s">
        <v>120</v>
      </c>
      <c r="B126" s="54" t="s">
        <v>142</v>
      </c>
      <c r="C126" s="53" t="s">
        <v>20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53" t="s">
        <v>120</v>
      </c>
      <c r="B127" s="54" t="s">
        <v>142</v>
      </c>
      <c r="C127" s="53" t="s">
        <v>7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53" t="s">
        <v>120</v>
      </c>
      <c r="B128" s="54" t="s">
        <v>142</v>
      </c>
      <c r="C128" s="53" t="s">
        <v>81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53" t="s">
        <v>120</v>
      </c>
      <c r="B129" s="54" t="s">
        <v>143</v>
      </c>
      <c r="C129" s="53" t="s">
        <v>20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53" t="s">
        <v>120</v>
      </c>
      <c r="B130" s="54" t="s">
        <v>143</v>
      </c>
      <c r="C130" s="53" t="s">
        <v>7</v>
      </c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53" t="s">
        <v>120</v>
      </c>
      <c r="B131" s="54" t="s">
        <v>143</v>
      </c>
      <c r="C131" s="53" t="s">
        <v>81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53" t="s">
        <v>120</v>
      </c>
      <c r="B132" s="54" t="s">
        <v>144</v>
      </c>
      <c r="C132" s="53" t="s">
        <v>20</v>
      </c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53" t="s">
        <v>120</v>
      </c>
      <c r="B133" s="54" t="s">
        <v>144</v>
      </c>
      <c r="C133" s="53" t="s">
        <v>7</v>
      </c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53" t="s">
        <v>120</v>
      </c>
      <c r="B134" s="54" t="s">
        <v>144</v>
      </c>
      <c r="C134" s="53" t="s">
        <v>81</v>
      </c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53" t="s">
        <v>120</v>
      </c>
      <c r="B135" s="54" t="s">
        <v>145</v>
      </c>
      <c r="C135" s="53" t="s">
        <v>20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53" t="s">
        <v>120</v>
      </c>
      <c r="B136" s="54" t="s">
        <v>145</v>
      </c>
      <c r="C136" s="53" t="s">
        <v>7</v>
      </c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53" t="s">
        <v>120</v>
      </c>
      <c r="B137" s="54" t="s">
        <v>145</v>
      </c>
      <c r="C137" s="53" t="s">
        <v>81</v>
      </c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53" t="s">
        <v>120</v>
      </c>
      <c r="B138" s="54" t="s">
        <v>146</v>
      </c>
      <c r="C138" s="53" t="s">
        <v>20</v>
      </c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53" t="s">
        <v>120</v>
      </c>
      <c r="B139" s="54" t="s">
        <v>146</v>
      </c>
      <c r="C139" s="53" t="s">
        <v>7</v>
      </c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53" t="s">
        <v>120</v>
      </c>
      <c r="B140" s="54" t="s">
        <v>146</v>
      </c>
      <c r="C140" s="53" t="s">
        <v>81</v>
      </c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53" t="s">
        <v>120</v>
      </c>
      <c r="B141" s="54" t="s">
        <v>147</v>
      </c>
      <c r="C141" s="53" t="s">
        <v>20</v>
      </c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53" t="s">
        <v>120</v>
      </c>
      <c r="B142" s="54" t="s">
        <v>147</v>
      </c>
      <c r="C142" s="53" t="s">
        <v>7</v>
      </c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53" t="s">
        <v>120</v>
      </c>
      <c r="B143" s="54" t="s">
        <v>147</v>
      </c>
      <c r="C143" s="53" t="s">
        <v>81</v>
      </c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53" t="s">
        <v>120</v>
      </c>
      <c r="B144" s="54" t="s">
        <v>148</v>
      </c>
      <c r="C144" s="53" t="s">
        <v>20</v>
      </c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53" t="s">
        <v>120</v>
      </c>
      <c r="B145" s="54" t="s">
        <v>148</v>
      </c>
      <c r="C145" s="53" t="s">
        <v>7</v>
      </c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53" t="s">
        <v>120</v>
      </c>
      <c r="B146" s="54" t="s">
        <v>148</v>
      </c>
      <c r="C146" s="53" t="s">
        <v>81</v>
      </c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53" t="s">
        <v>120</v>
      </c>
      <c r="B147" s="54" t="s">
        <v>149</v>
      </c>
      <c r="C147" s="53" t="s">
        <v>20</v>
      </c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53" t="s">
        <v>120</v>
      </c>
      <c r="B148" s="54" t="s">
        <v>149</v>
      </c>
      <c r="C148" s="53" t="s">
        <v>7</v>
      </c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53" t="s">
        <v>120</v>
      </c>
      <c r="B149" s="54" t="s">
        <v>149</v>
      </c>
      <c r="C149" s="53" t="s">
        <v>81</v>
      </c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53" t="s">
        <v>120</v>
      </c>
      <c r="B150" s="54" t="s">
        <v>150</v>
      </c>
      <c r="C150" s="53" t="s">
        <v>20</v>
      </c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53" t="s">
        <v>120</v>
      </c>
      <c r="B151" s="54" t="s">
        <v>150</v>
      </c>
      <c r="C151" s="53" t="s">
        <v>7</v>
      </c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53" t="s">
        <v>120</v>
      </c>
      <c r="B152" s="54" t="s">
        <v>150</v>
      </c>
      <c r="C152" s="53" t="s">
        <v>81</v>
      </c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53" t="s">
        <v>120</v>
      </c>
      <c r="B153" s="54" t="s">
        <v>151</v>
      </c>
      <c r="C153" s="53" t="s">
        <v>20</v>
      </c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3" t="s">
        <v>120</v>
      </c>
      <c r="B154" s="54" t="s">
        <v>151</v>
      </c>
      <c r="C154" s="53" t="s">
        <v>7</v>
      </c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53" t="s">
        <v>120</v>
      </c>
      <c r="B155" s="54" t="s">
        <v>151</v>
      </c>
      <c r="C155" s="53" t="s">
        <v>81</v>
      </c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5" t="s">
        <v>152</v>
      </c>
      <c r="B156" s="56" t="s">
        <v>153</v>
      </c>
      <c r="C156" s="55" t="s">
        <v>44</v>
      </c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55" t="s">
        <v>152</v>
      </c>
      <c r="B157" s="56" t="s">
        <v>153</v>
      </c>
      <c r="C157" s="55" t="s">
        <v>76</v>
      </c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55" t="s">
        <v>152</v>
      </c>
      <c r="B158" s="56" t="s">
        <v>153</v>
      </c>
      <c r="C158" s="55" t="s">
        <v>83</v>
      </c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55" t="s">
        <v>152</v>
      </c>
      <c r="B159" s="56" t="s">
        <v>154</v>
      </c>
      <c r="C159" s="55" t="s">
        <v>44</v>
      </c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5" t="s">
        <v>152</v>
      </c>
      <c r="B160" s="56" t="s">
        <v>154</v>
      </c>
      <c r="C160" s="55" t="s">
        <v>76</v>
      </c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55" t="s">
        <v>152</v>
      </c>
      <c r="B161" s="56" t="s">
        <v>154</v>
      </c>
      <c r="C161" s="55" t="s">
        <v>83</v>
      </c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55" t="s">
        <v>152</v>
      </c>
      <c r="B162" s="56" t="s">
        <v>155</v>
      </c>
      <c r="C162" s="55" t="s">
        <v>44</v>
      </c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55" t="s">
        <v>152</v>
      </c>
      <c r="B163" s="56" t="s">
        <v>155</v>
      </c>
      <c r="C163" s="55" t="s">
        <v>76</v>
      </c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55" t="s">
        <v>152</v>
      </c>
      <c r="B164" s="56" t="s">
        <v>155</v>
      </c>
      <c r="C164" s="55" t="s">
        <v>83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55" t="s">
        <v>152</v>
      </c>
      <c r="B165" s="56" t="s">
        <v>156</v>
      </c>
      <c r="C165" s="55" t="s">
        <v>44</v>
      </c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55" t="s">
        <v>152</v>
      </c>
      <c r="B166" s="56" t="s">
        <v>156</v>
      </c>
      <c r="C166" s="55" t="s">
        <v>76</v>
      </c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55" t="s">
        <v>152</v>
      </c>
      <c r="B167" s="56" t="s">
        <v>156</v>
      </c>
      <c r="C167" s="55" t="s">
        <v>83</v>
      </c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55" t="s">
        <v>152</v>
      </c>
      <c r="B168" s="56" t="s">
        <v>157</v>
      </c>
      <c r="C168" s="55" t="s">
        <v>44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55" t="s">
        <v>152</v>
      </c>
      <c r="B169" s="56" t="s">
        <v>157</v>
      </c>
      <c r="C169" s="55" t="s">
        <v>76</v>
      </c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55" t="s">
        <v>152</v>
      </c>
      <c r="B170" s="56" t="s">
        <v>157</v>
      </c>
      <c r="C170" s="55" t="s">
        <v>83</v>
      </c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55" t="s">
        <v>152</v>
      </c>
      <c r="B171" s="56" t="s">
        <v>158</v>
      </c>
      <c r="C171" s="55" t="s">
        <v>44</v>
      </c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55" t="s">
        <v>152</v>
      </c>
      <c r="B172" s="56" t="s">
        <v>158</v>
      </c>
      <c r="C172" s="55" t="s">
        <v>76</v>
      </c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55" t="s">
        <v>152</v>
      </c>
      <c r="B173" s="56" t="s">
        <v>158</v>
      </c>
      <c r="C173" s="55" t="s">
        <v>83</v>
      </c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55" t="s">
        <v>152</v>
      </c>
      <c r="B174" s="56" t="s">
        <v>159</v>
      </c>
      <c r="C174" s="55" t="s">
        <v>44</v>
      </c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55" t="s">
        <v>152</v>
      </c>
      <c r="B175" s="56" t="s">
        <v>159</v>
      </c>
      <c r="C175" s="55" t="s">
        <v>76</v>
      </c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55" t="s">
        <v>152</v>
      </c>
      <c r="B176" s="56" t="s">
        <v>159</v>
      </c>
      <c r="C176" s="55" t="s">
        <v>83</v>
      </c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55" t="s">
        <v>152</v>
      </c>
      <c r="B177" s="56" t="s">
        <v>160</v>
      </c>
      <c r="C177" s="55" t="s">
        <v>44</v>
      </c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55" t="s">
        <v>152</v>
      </c>
      <c r="B178" s="56" t="s">
        <v>160</v>
      </c>
      <c r="C178" s="55" t="s">
        <v>76</v>
      </c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55" t="s">
        <v>152</v>
      </c>
      <c r="B179" s="56" t="s">
        <v>160</v>
      </c>
      <c r="C179" s="55" t="s">
        <v>83</v>
      </c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55" t="s">
        <v>152</v>
      </c>
      <c r="B180" s="56" t="s">
        <v>161</v>
      </c>
      <c r="C180" s="55" t="s">
        <v>44</v>
      </c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55" t="s">
        <v>152</v>
      </c>
      <c r="B181" s="56" t="s">
        <v>161</v>
      </c>
      <c r="C181" s="55" t="s">
        <v>76</v>
      </c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55" t="s">
        <v>152</v>
      </c>
      <c r="B182" s="56" t="s">
        <v>161</v>
      </c>
      <c r="C182" s="55" t="s">
        <v>83</v>
      </c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55" t="s">
        <v>152</v>
      </c>
      <c r="B183" s="56" t="s">
        <v>162</v>
      </c>
      <c r="C183" s="55" t="s">
        <v>44</v>
      </c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55" t="s">
        <v>152</v>
      </c>
      <c r="B184" s="56" t="s">
        <v>162</v>
      </c>
      <c r="C184" s="55" t="s">
        <v>76</v>
      </c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55" t="s">
        <v>152</v>
      </c>
      <c r="B185" s="56" t="s">
        <v>162</v>
      </c>
      <c r="C185" s="55" t="s">
        <v>83</v>
      </c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55" t="s">
        <v>152</v>
      </c>
      <c r="B186" s="56" t="s">
        <v>163</v>
      </c>
      <c r="C186" s="55" t="s">
        <v>44</v>
      </c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55" t="s">
        <v>152</v>
      </c>
      <c r="B187" s="56" t="s">
        <v>163</v>
      </c>
      <c r="C187" s="55" t="s">
        <v>76</v>
      </c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55" t="s">
        <v>152</v>
      </c>
      <c r="B188" s="56" t="s">
        <v>163</v>
      </c>
      <c r="C188" s="55" t="s">
        <v>83</v>
      </c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55" t="s">
        <v>152</v>
      </c>
      <c r="B189" s="56" t="s">
        <v>164</v>
      </c>
      <c r="C189" s="55" t="s">
        <v>44</v>
      </c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55" t="s">
        <v>152</v>
      </c>
      <c r="B190" s="56" t="s">
        <v>164</v>
      </c>
      <c r="C190" s="55" t="s">
        <v>76</v>
      </c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55" t="s">
        <v>152</v>
      </c>
      <c r="B191" s="56" t="s">
        <v>164</v>
      </c>
      <c r="C191" s="55" t="s">
        <v>83</v>
      </c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55" t="s">
        <v>152</v>
      </c>
      <c r="B192" s="56" t="s">
        <v>165</v>
      </c>
      <c r="C192" s="55" t="s">
        <v>44</v>
      </c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55" t="s">
        <v>152</v>
      </c>
      <c r="B193" s="56" t="s">
        <v>165</v>
      </c>
      <c r="C193" s="55" t="s">
        <v>76</v>
      </c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55" t="s">
        <v>152</v>
      </c>
      <c r="B194" s="56" t="s">
        <v>165</v>
      </c>
      <c r="C194" s="55" t="s">
        <v>83</v>
      </c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57" t="s">
        <v>166</v>
      </c>
      <c r="B195" s="58" t="s">
        <v>167</v>
      </c>
      <c r="C195" s="57" t="s">
        <v>44</v>
      </c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57" t="s">
        <v>166</v>
      </c>
      <c r="B196" s="58" t="s">
        <v>167</v>
      </c>
      <c r="C196" s="57" t="s">
        <v>76</v>
      </c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57" t="s">
        <v>166</v>
      </c>
      <c r="B197" s="58" t="s">
        <v>167</v>
      </c>
      <c r="C197" s="57" t="s">
        <v>83</v>
      </c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57" t="s">
        <v>166</v>
      </c>
      <c r="B198" s="58" t="s">
        <v>168</v>
      </c>
      <c r="C198" s="57" t="s">
        <v>34</v>
      </c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57" t="s">
        <v>166</v>
      </c>
      <c r="B199" s="58" t="s">
        <v>168</v>
      </c>
      <c r="C199" s="57" t="s">
        <v>50</v>
      </c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57" t="s">
        <v>166</v>
      </c>
      <c r="B200" s="58" t="s">
        <v>168</v>
      </c>
      <c r="C200" s="57" t="s">
        <v>52</v>
      </c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57" t="s">
        <v>166</v>
      </c>
      <c r="B201" s="58" t="s">
        <v>169</v>
      </c>
      <c r="C201" s="57" t="s">
        <v>34</v>
      </c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57" t="s">
        <v>166</v>
      </c>
      <c r="B202" s="58" t="s">
        <v>169</v>
      </c>
      <c r="C202" s="57" t="s">
        <v>50</v>
      </c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57" t="s">
        <v>166</v>
      </c>
      <c r="B203" s="58" t="s">
        <v>169</v>
      </c>
      <c r="C203" s="57" t="s">
        <v>52</v>
      </c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57" t="s">
        <v>166</v>
      </c>
      <c r="B204" s="58" t="s">
        <v>170</v>
      </c>
      <c r="C204" s="57" t="s">
        <v>34</v>
      </c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57" t="s">
        <v>166</v>
      </c>
      <c r="B205" s="58" t="s">
        <v>170</v>
      </c>
      <c r="C205" s="57" t="s">
        <v>50</v>
      </c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57" t="s">
        <v>166</v>
      </c>
      <c r="B206" s="58" t="s">
        <v>170</v>
      </c>
      <c r="C206" s="57" t="s">
        <v>52</v>
      </c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57" t="s">
        <v>166</v>
      </c>
      <c r="B207" s="58" t="s">
        <v>171</v>
      </c>
      <c r="C207" s="57" t="s">
        <v>34</v>
      </c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57" t="s">
        <v>166</v>
      </c>
      <c r="B208" s="58" t="s">
        <v>171</v>
      </c>
      <c r="C208" s="57" t="s">
        <v>50</v>
      </c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57" t="s">
        <v>166</v>
      </c>
      <c r="B209" s="58" t="s">
        <v>171</v>
      </c>
      <c r="C209" s="57" t="s">
        <v>52</v>
      </c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57" t="s">
        <v>166</v>
      </c>
      <c r="B210" s="58" t="s">
        <v>172</v>
      </c>
      <c r="C210" s="57" t="s">
        <v>34</v>
      </c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57" t="s">
        <v>166</v>
      </c>
      <c r="B211" s="58" t="s">
        <v>172</v>
      </c>
      <c r="C211" s="57" t="s">
        <v>50</v>
      </c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57" t="s">
        <v>166</v>
      </c>
      <c r="B212" s="58" t="s">
        <v>172</v>
      </c>
      <c r="C212" s="57" t="s">
        <v>52</v>
      </c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57" t="s">
        <v>166</v>
      </c>
      <c r="B213" s="58" t="s">
        <v>173</v>
      </c>
      <c r="C213" s="57" t="s">
        <v>34</v>
      </c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57" t="s">
        <v>166</v>
      </c>
      <c r="B214" s="58" t="s">
        <v>173</v>
      </c>
      <c r="C214" s="57" t="s">
        <v>50</v>
      </c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57" t="s">
        <v>166</v>
      </c>
      <c r="B215" s="58" t="s">
        <v>173</v>
      </c>
      <c r="C215" s="57" t="s">
        <v>52</v>
      </c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57" t="s">
        <v>166</v>
      </c>
      <c r="B216" s="58" t="s">
        <v>174</v>
      </c>
      <c r="C216" s="57" t="s">
        <v>34</v>
      </c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57" t="s">
        <v>166</v>
      </c>
      <c r="B217" s="58" t="s">
        <v>174</v>
      </c>
      <c r="C217" s="57" t="s">
        <v>50</v>
      </c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57" t="s">
        <v>166</v>
      </c>
      <c r="B218" s="58" t="s">
        <v>174</v>
      </c>
      <c r="C218" s="57" t="s">
        <v>52</v>
      </c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59" t="s">
        <v>175</v>
      </c>
      <c r="B219" s="60" t="s">
        <v>176</v>
      </c>
      <c r="C219" s="59" t="s">
        <v>27</v>
      </c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59" t="s">
        <v>175</v>
      </c>
      <c r="B220" s="60" t="s">
        <v>176</v>
      </c>
      <c r="C220" s="59" t="s">
        <v>46</v>
      </c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59" t="s">
        <v>175</v>
      </c>
      <c r="B221" s="60" t="s">
        <v>177</v>
      </c>
      <c r="C221" s="59" t="s">
        <v>27</v>
      </c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59" t="s">
        <v>175</v>
      </c>
      <c r="B222" s="60" t="s">
        <v>177</v>
      </c>
      <c r="C222" s="59" t="s">
        <v>46</v>
      </c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59" t="s">
        <v>175</v>
      </c>
      <c r="B223" s="60" t="s">
        <v>178</v>
      </c>
      <c r="C223" s="59" t="s">
        <v>27</v>
      </c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59" t="s">
        <v>175</v>
      </c>
      <c r="B224" s="60" t="s">
        <v>178</v>
      </c>
      <c r="C224" s="59" t="s">
        <v>46</v>
      </c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59" t="s">
        <v>175</v>
      </c>
      <c r="B225" s="60" t="s">
        <v>179</v>
      </c>
      <c r="C225" s="59" t="s">
        <v>27</v>
      </c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59" t="s">
        <v>175</v>
      </c>
      <c r="B226" s="60" t="s">
        <v>179</v>
      </c>
      <c r="C226" s="59" t="s">
        <v>46</v>
      </c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59" t="s">
        <v>175</v>
      </c>
      <c r="B227" s="60" t="s">
        <v>180</v>
      </c>
      <c r="C227" s="59" t="s">
        <v>27</v>
      </c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59" t="s">
        <v>175</v>
      </c>
      <c r="B228" s="60" t="s">
        <v>180</v>
      </c>
      <c r="C228" s="59" t="s">
        <v>46</v>
      </c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59" t="s">
        <v>175</v>
      </c>
      <c r="B229" s="60" t="s">
        <v>181</v>
      </c>
      <c r="C229" s="59" t="s">
        <v>27</v>
      </c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59" t="s">
        <v>175</v>
      </c>
      <c r="B230" s="60" t="s">
        <v>181</v>
      </c>
      <c r="C230" s="59" t="s">
        <v>46</v>
      </c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59" t="s">
        <v>175</v>
      </c>
      <c r="B231" s="60" t="s">
        <v>182</v>
      </c>
      <c r="C231" s="59" t="s">
        <v>27</v>
      </c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59" t="s">
        <v>175</v>
      </c>
      <c r="B232" s="60" t="s">
        <v>182</v>
      </c>
      <c r="C232" s="59" t="s">
        <v>46</v>
      </c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59" t="s">
        <v>175</v>
      </c>
      <c r="B233" s="60" t="s">
        <v>183</v>
      </c>
      <c r="C233" s="59" t="s">
        <v>27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59" t="s">
        <v>175</v>
      </c>
      <c r="B234" s="60" t="s">
        <v>183</v>
      </c>
      <c r="C234" s="59" t="s">
        <v>46</v>
      </c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59" t="s">
        <v>175</v>
      </c>
      <c r="B235" s="60" t="s">
        <v>184</v>
      </c>
      <c r="C235" s="59" t="s">
        <v>27</v>
      </c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59" t="s">
        <v>175</v>
      </c>
      <c r="B236" s="60" t="s">
        <v>184</v>
      </c>
      <c r="C236" s="59" t="s">
        <v>46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59" t="s">
        <v>175</v>
      </c>
      <c r="B237" s="60" t="s">
        <v>185</v>
      </c>
      <c r="C237" s="59" t="s">
        <v>27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59" t="s">
        <v>175</v>
      </c>
      <c r="B238" s="60" t="s">
        <v>185</v>
      </c>
      <c r="C238" s="59" t="s">
        <v>46</v>
      </c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59" t="s">
        <v>175</v>
      </c>
      <c r="B239" s="60" t="s">
        <v>186</v>
      </c>
      <c r="C239" s="59" t="s">
        <v>27</v>
      </c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59" t="s">
        <v>175</v>
      </c>
      <c r="B240" s="60" t="s">
        <v>186</v>
      </c>
      <c r="C240" s="59" t="s">
        <v>46</v>
      </c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59" t="s">
        <v>175</v>
      </c>
      <c r="B241" s="60" t="s">
        <v>187</v>
      </c>
      <c r="C241" s="59" t="s">
        <v>27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59" t="s">
        <v>175</v>
      </c>
      <c r="B242" s="60" t="s">
        <v>187</v>
      </c>
      <c r="C242" s="59" t="s">
        <v>46</v>
      </c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59" t="s">
        <v>175</v>
      </c>
      <c r="B243" s="60" t="s">
        <v>188</v>
      </c>
      <c r="C243" s="59" t="s">
        <v>27</v>
      </c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59" t="s">
        <v>175</v>
      </c>
      <c r="B244" s="60" t="s">
        <v>188</v>
      </c>
      <c r="C244" s="59" t="s">
        <v>46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59" t="s">
        <v>175</v>
      </c>
      <c r="B245" s="60" t="s">
        <v>189</v>
      </c>
      <c r="C245" s="59" t="s">
        <v>27</v>
      </c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59" t="s">
        <v>175</v>
      </c>
      <c r="B246" s="60" t="s">
        <v>189</v>
      </c>
      <c r="C246" s="59" t="s">
        <v>46</v>
      </c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59" t="s">
        <v>175</v>
      </c>
      <c r="B247" s="60" t="s">
        <v>190</v>
      </c>
      <c r="C247" s="59" t="s">
        <v>27</v>
      </c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59" t="s">
        <v>175</v>
      </c>
      <c r="B248" s="60" t="s">
        <v>190</v>
      </c>
      <c r="C248" s="59" t="s">
        <v>46</v>
      </c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59" t="s">
        <v>175</v>
      </c>
      <c r="B249" s="60" t="s">
        <v>191</v>
      </c>
      <c r="C249" s="59" t="s">
        <v>27</v>
      </c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59" t="s">
        <v>175</v>
      </c>
      <c r="B250" s="60" t="s">
        <v>191</v>
      </c>
      <c r="C250" s="59" t="s">
        <v>46</v>
      </c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59" t="s">
        <v>175</v>
      </c>
      <c r="B251" s="60" t="s">
        <v>192</v>
      </c>
      <c r="C251" s="59" t="s">
        <v>27</v>
      </c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59" t="s">
        <v>175</v>
      </c>
      <c r="B252" s="60" t="s">
        <v>192</v>
      </c>
      <c r="C252" s="59" t="s">
        <v>46</v>
      </c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59" t="s">
        <v>175</v>
      </c>
      <c r="B253" s="60" t="s">
        <v>193</v>
      </c>
      <c r="C253" s="59" t="s">
        <v>27</v>
      </c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59" t="s">
        <v>175</v>
      </c>
      <c r="B254" s="60" t="s">
        <v>193</v>
      </c>
      <c r="C254" s="59" t="s">
        <v>46</v>
      </c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59" t="s">
        <v>175</v>
      </c>
      <c r="B255" s="60" t="s">
        <v>194</v>
      </c>
      <c r="C255" s="59" t="s">
        <v>27</v>
      </c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59" t="s">
        <v>175</v>
      </c>
      <c r="B256" s="60" t="s">
        <v>194</v>
      </c>
      <c r="C256" s="59" t="s">
        <v>46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59" t="s">
        <v>175</v>
      </c>
      <c r="B257" s="60" t="s">
        <v>195</v>
      </c>
      <c r="C257" s="59" t="s">
        <v>27</v>
      </c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59" t="s">
        <v>175</v>
      </c>
      <c r="B258" s="60" t="s">
        <v>195</v>
      </c>
      <c r="C258" s="59" t="s">
        <v>46</v>
      </c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59" t="s">
        <v>175</v>
      </c>
      <c r="B259" s="60" t="s">
        <v>196</v>
      </c>
      <c r="C259" s="59" t="s">
        <v>27</v>
      </c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59" t="s">
        <v>175</v>
      </c>
      <c r="B260" s="60" t="s">
        <v>196</v>
      </c>
      <c r="C260" s="59" t="s">
        <v>46</v>
      </c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61" t="s">
        <v>197</v>
      </c>
      <c r="B261" s="62" t="s">
        <v>198</v>
      </c>
      <c r="C261" s="63" t="s">
        <v>44</v>
      </c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1" t="s">
        <v>197</v>
      </c>
      <c r="B262" s="62" t="s">
        <v>198</v>
      </c>
      <c r="C262" s="63" t="s">
        <v>76</v>
      </c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1" t="s">
        <v>197</v>
      </c>
      <c r="B263" s="62" t="s">
        <v>198</v>
      </c>
      <c r="C263" s="63" t="s">
        <v>83</v>
      </c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1" t="s">
        <v>197</v>
      </c>
      <c r="B264" s="62" t="s">
        <v>199</v>
      </c>
      <c r="C264" s="63" t="s">
        <v>44</v>
      </c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1" t="s">
        <v>197</v>
      </c>
      <c r="B265" s="62" t="s">
        <v>199</v>
      </c>
      <c r="C265" s="63" t="s">
        <v>76</v>
      </c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1" t="s">
        <v>197</v>
      </c>
      <c r="B266" s="62" t="s">
        <v>199</v>
      </c>
      <c r="C266" s="63" t="s">
        <v>83</v>
      </c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1" t="s">
        <v>197</v>
      </c>
      <c r="B267" s="62" t="s">
        <v>200</v>
      </c>
      <c r="C267" s="63" t="s">
        <v>44</v>
      </c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1" t="s">
        <v>197</v>
      </c>
      <c r="B268" s="62" t="s">
        <v>200</v>
      </c>
      <c r="C268" s="63" t="s">
        <v>76</v>
      </c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1" t="s">
        <v>197</v>
      </c>
      <c r="B269" s="62" t="s">
        <v>200</v>
      </c>
      <c r="C269" s="63" t="s">
        <v>83</v>
      </c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1" t="s">
        <v>197</v>
      </c>
      <c r="B270" s="65" t="s">
        <v>201</v>
      </c>
      <c r="C270" s="63" t="s">
        <v>44</v>
      </c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61" t="s">
        <v>197</v>
      </c>
      <c r="B271" s="65" t="s">
        <v>201</v>
      </c>
      <c r="C271" s="63" t="s">
        <v>76</v>
      </c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61" t="s">
        <v>197</v>
      </c>
      <c r="B272" s="65" t="s">
        <v>201</v>
      </c>
      <c r="C272" s="63" t="s">
        <v>83</v>
      </c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61" t="s">
        <v>197</v>
      </c>
      <c r="B273" s="65" t="s">
        <v>202</v>
      </c>
      <c r="C273" s="63" t="s">
        <v>44</v>
      </c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61" t="s">
        <v>197</v>
      </c>
      <c r="B274" s="65" t="s">
        <v>202</v>
      </c>
      <c r="C274" s="63" t="s">
        <v>76</v>
      </c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61" t="s">
        <v>197</v>
      </c>
      <c r="B275" s="65" t="s">
        <v>202</v>
      </c>
      <c r="C275" s="63" t="s">
        <v>83</v>
      </c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61" t="s">
        <v>197</v>
      </c>
      <c r="B276" s="65" t="s">
        <v>203</v>
      </c>
      <c r="C276" s="63" t="s">
        <v>44</v>
      </c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61" t="s">
        <v>197</v>
      </c>
      <c r="B277" s="65" t="s">
        <v>203</v>
      </c>
      <c r="C277" s="63" t="s">
        <v>76</v>
      </c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61" t="s">
        <v>197</v>
      </c>
      <c r="B278" s="65" t="s">
        <v>203</v>
      </c>
      <c r="C278" s="63" t="s">
        <v>83</v>
      </c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61" t="s">
        <v>197</v>
      </c>
      <c r="B279" s="65" t="s">
        <v>204</v>
      </c>
      <c r="C279" s="63" t="s">
        <v>44</v>
      </c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61" t="s">
        <v>197</v>
      </c>
      <c r="B280" s="65" t="s">
        <v>204</v>
      </c>
      <c r="C280" s="63" t="s">
        <v>76</v>
      </c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61" t="s">
        <v>197</v>
      </c>
      <c r="B281" s="65" t="s">
        <v>204</v>
      </c>
      <c r="C281" s="63" t="s">
        <v>83</v>
      </c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61" t="s">
        <v>197</v>
      </c>
      <c r="B282" s="65" t="s">
        <v>205</v>
      </c>
      <c r="C282" s="63" t="s">
        <v>44</v>
      </c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61" t="s">
        <v>197</v>
      </c>
      <c r="B283" s="65" t="s">
        <v>205</v>
      </c>
      <c r="C283" s="63" t="s">
        <v>76</v>
      </c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61" t="s">
        <v>197</v>
      </c>
      <c r="B284" s="65" t="s">
        <v>205</v>
      </c>
      <c r="C284" s="63" t="s">
        <v>83</v>
      </c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61" t="s">
        <v>197</v>
      </c>
      <c r="B285" s="65" t="s">
        <v>206</v>
      </c>
      <c r="C285" s="63" t="s">
        <v>44</v>
      </c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61" t="s">
        <v>197</v>
      </c>
      <c r="B286" s="65" t="s">
        <v>206</v>
      </c>
      <c r="C286" s="63" t="s">
        <v>76</v>
      </c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61" t="s">
        <v>197</v>
      </c>
      <c r="B287" s="65" t="s">
        <v>206</v>
      </c>
      <c r="C287" s="63" t="s">
        <v>83</v>
      </c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9" t="s">
        <v>207</v>
      </c>
      <c r="B288" s="66" t="s">
        <v>208</v>
      </c>
      <c r="C288" s="9" t="s">
        <v>29</v>
      </c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9" t="s">
        <v>207</v>
      </c>
      <c r="B289" s="66" t="s">
        <v>208</v>
      </c>
      <c r="C289" s="9" t="s">
        <v>72</v>
      </c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9" t="s">
        <v>207</v>
      </c>
      <c r="B290" s="66" t="s">
        <v>209</v>
      </c>
      <c r="C290" s="9" t="s">
        <v>29</v>
      </c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9" t="s">
        <v>207</v>
      </c>
      <c r="B291" s="66" t="s">
        <v>209</v>
      </c>
      <c r="C291" s="9" t="s">
        <v>72</v>
      </c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9" t="s">
        <v>207</v>
      </c>
      <c r="B292" s="66" t="s">
        <v>210</v>
      </c>
      <c r="C292" s="9" t="s">
        <v>29</v>
      </c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9" t="s">
        <v>207</v>
      </c>
      <c r="B293" s="66" t="s">
        <v>210</v>
      </c>
      <c r="C293" s="9" t="s">
        <v>72</v>
      </c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9" t="s">
        <v>207</v>
      </c>
      <c r="B294" s="66" t="s">
        <v>211</v>
      </c>
      <c r="C294" s="9" t="s">
        <v>29</v>
      </c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9" t="s">
        <v>207</v>
      </c>
      <c r="B295" s="66" t="s">
        <v>211</v>
      </c>
      <c r="C295" s="9" t="s">
        <v>72</v>
      </c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9" t="s">
        <v>207</v>
      </c>
      <c r="B296" s="66" t="s">
        <v>212</v>
      </c>
      <c r="C296" s="9" t="s">
        <v>29</v>
      </c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9" t="s">
        <v>207</v>
      </c>
      <c r="B297" s="66" t="s">
        <v>212</v>
      </c>
      <c r="C297" s="9" t="s">
        <v>72</v>
      </c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9" t="s">
        <v>207</v>
      </c>
      <c r="B298" s="66" t="s">
        <v>213</v>
      </c>
      <c r="C298" s="9" t="s">
        <v>29</v>
      </c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9" t="s">
        <v>207</v>
      </c>
      <c r="B299" s="66" t="s">
        <v>213</v>
      </c>
      <c r="C299" s="9" t="s">
        <v>72</v>
      </c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9" t="s">
        <v>207</v>
      </c>
      <c r="B300" s="66" t="s">
        <v>214</v>
      </c>
      <c r="C300" s="9" t="s">
        <v>29</v>
      </c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9" t="s">
        <v>207</v>
      </c>
      <c r="B301" s="66" t="s">
        <v>214</v>
      </c>
      <c r="C301" s="9" t="s">
        <v>72</v>
      </c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9" t="s">
        <v>207</v>
      </c>
      <c r="B302" s="66" t="s">
        <v>215</v>
      </c>
      <c r="C302" s="9" t="s">
        <v>29</v>
      </c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9" t="s">
        <v>207</v>
      </c>
      <c r="B303" s="66" t="s">
        <v>215</v>
      </c>
      <c r="C303" s="9" t="s">
        <v>72</v>
      </c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9" t="s">
        <v>207</v>
      </c>
      <c r="B304" s="66" t="s">
        <v>216</v>
      </c>
      <c r="C304" s="9" t="s">
        <v>29</v>
      </c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9" t="s">
        <v>207</v>
      </c>
      <c r="B305" s="66" t="s">
        <v>216</v>
      </c>
      <c r="C305" s="9" t="s">
        <v>72</v>
      </c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9" t="s">
        <v>207</v>
      </c>
      <c r="B306" s="66" t="s">
        <v>217</v>
      </c>
      <c r="C306" s="9" t="s">
        <v>29</v>
      </c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9" t="s">
        <v>207</v>
      </c>
      <c r="B307" s="66" t="s">
        <v>217</v>
      </c>
      <c r="C307" s="9" t="s">
        <v>72</v>
      </c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9" t="s">
        <v>207</v>
      </c>
      <c r="B308" s="66" t="s">
        <v>218</v>
      </c>
      <c r="C308" s="9" t="s">
        <v>29</v>
      </c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9" t="s">
        <v>207</v>
      </c>
      <c r="B309" s="66" t="s">
        <v>218</v>
      </c>
      <c r="C309" s="9" t="s">
        <v>72</v>
      </c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9" t="s">
        <v>207</v>
      </c>
      <c r="B310" s="66" t="s">
        <v>219</v>
      </c>
      <c r="C310" s="9" t="s">
        <v>29</v>
      </c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9" t="s">
        <v>207</v>
      </c>
      <c r="B311" s="66" t="s">
        <v>219</v>
      </c>
      <c r="C311" s="9" t="s">
        <v>72</v>
      </c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9" t="s">
        <v>207</v>
      </c>
      <c r="B312" s="66" t="s">
        <v>220</v>
      </c>
      <c r="C312" s="9" t="s">
        <v>29</v>
      </c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9" t="s">
        <v>207</v>
      </c>
      <c r="B313" s="66" t="s">
        <v>220</v>
      </c>
      <c r="C313" s="9" t="s">
        <v>72</v>
      </c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4" t="s">
        <v>221</v>
      </c>
      <c r="B314" s="45" t="s">
        <v>222</v>
      </c>
      <c r="C314" s="44" t="s">
        <v>48</v>
      </c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4" t="s">
        <v>221</v>
      </c>
      <c r="B315" s="45" t="s">
        <v>223</v>
      </c>
      <c r="C315" s="44" t="s">
        <v>48</v>
      </c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4" t="s">
        <v>221</v>
      </c>
      <c r="B316" s="45" t="s">
        <v>224</v>
      </c>
      <c r="C316" s="44" t="s">
        <v>48</v>
      </c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4" t="s">
        <v>221</v>
      </c>
      <c r="B317" s="45" t="s">
        <v>225</v>
      </c>
      <c r="C317" s="44" t="s">
        <v>48</v>
      </c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4" t="s">
        <v>221</v>
      </c>
      <c r="B318" s="45" t="s">
        <v>226</v>
      </c>
      <c r="C318" s="44" t="s">
        <v>48</v>
      </c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4" t="s">
        <v>221</v>
      </c>
      <c r="B319" s="45" t="s">
        <v>227</v>
      </c>
      <c r="C319" s="44" t="s">
        <v>48</v>
      </c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4" t="s">
        <v>221</v>
      </c>
      <c r="B320" s="45" t="s">
        <v>228</v>
      </c>
      <c r="C320" s="44" t="s">
        <v>48</v>
      </c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4" t="s">
        <v>221</v>
      </c>
      <c r="B321" s="45" t="s">
        <v>229</v>
      </c>
      <c r="C321" s="44" t="s">
        <v>48</v>
      </c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9" t="s">
        <v>230</v>
      </c>
      <c r="B322" s="50" t="s">
        <v>231</v>
      </c>
      <c r="C322" s="49" t="s">
        <v>34</v>
      </c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9" t="s">
        <v>230</v>
      </c>
      <c r="B323" s="50" t="s">
        <v>231</v>
      </c>
      <c r="C323" s="49" t="s">
        <v>50</v>
      </c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9" t="s">
        <v>230</v>
      </c>
      <c r="B324" s="50" t="s">
        <v>231</v>
      </c>
      <c r="C324" s="49" t="s">
        <v>52</v>
      </c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9" t="s">
        <v>230</v>
      </c>
      <c r="B325" s="50" t="s">
        <v>232</v>
      </c>
      <c r="C325" s="49" t="s">
        <v>34</v>
      </c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9" t="s">
        <v>230</v>
      </c>
      <c r="B326" s="50" t="s">
        <v>232</v>
      </c>
      <c r="C326" s="49" t="s">
        <v>50</v>
      </c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9" t="s">
        <v>230</v>
      </c>
      <c r="B327" s="50" t="s">
        <v>232</v>
      </c>
      <c r="C327" s="49" t="s">
        <v>52</v>
      </c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9" t="s">
        <v>230</v>
      </c>
      <c r="B328" s="50" t="s">
        <v>233</v>
      </c>
      <c r="C328" s="49" t="s">
        <v>34</v>
      </c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9" t="s">
        <v>230</v>
      </c>
      <c r="B329" s="50" t="s">
        <v>233</v>
      </c>
      <c r="C329" s="49" t="s">
        <v>50</v>
      </c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9" t="s">
        <v>230</v>
      </c>
      <c r="B330" s="50" t="s">
        <v>233</v>
      </c>
      <c r="C330" s="49" t="s">
        <v>52</v>
      </c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9" t="s">
        <v>230</v>
      </c>
      <c r="B331" s="50" t="s">
        <v>234</v>
      </c>
      <c r="C331" s="49" t="s">
        <v>34</v>
      </c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9" t="s">
        <v>230</v>
      </c>
      <c r="B332" s="50" t="s">
        <v>234</v>
      </c>
      <c r="C332" s="49" t="s">
        <v>50</v>
      </c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9" t="s">
        <v>230</v>
      </c>
      <c r="B333" s="50" t="s">
        <v>234</v>
      </c>
      <c r="C333" s="49" t="s">
        <v>52</v>
      </c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9" t="s">
        <v>230</v>
      </c>
      <c r="B334" s="50" t="s">
        <v>235</v>
      </c>
      <c r="C334" s="49" t="s">
        <v>34</v>
      </c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9" t="s">
        <v>230</v>
      </c>
      <c r="B335" s="50" t="s">
        <v>235</v>
      </c>
      <c r="C335" s="49" t="s">
        <v>50</v>
      </c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9" t="s">
        <v>230</v>
      </c>
      <c r="B336" s="50" t="s">
        <v>235</v>
      </c>
      <c r="C336" s="49" t="s">
        <v>52</v>
      </c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9" t="s">
        <v>230</v>
      </c>
      <c r="B337" s="50" t="s">
        <v>236</v>
      </c>
      <c r="C337" s="49" t="s">
        <v>34</v>
      </c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9" t="s">
        <v>230</v>
      </c>
      <c r="B338" s="50" t="s">
        <v>236</v>
      </c>
      <c r="C338" s="49" t="s">
        <v>50</v>
      </c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9" t="s">
        <v>230</v>
      </c>
      <c r="B339" s="50" t="s">
        <v>236</v>
      </c>
      <c r="C339" s="49" t="s">
        <v>52</v>
      </c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9" t="s">
        <v>230</v>
      </c>
      <c r="B340" s="50" t="s">
        <v>237</v>
      </c>
      <c r="C340" s="49" t="s">
        <v>34</v>
      </c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9" t="s">
        <v>230</v>
      </c>
      <c r="B341" s="50" t="s">
        <v>237</v>
      </c>
      <c r="C341" s="49" t="s">
        <v>50</v>
      </c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9" t="s">
        <v>230</v>
      </c>
      <c r="B342" s="50" t="s">
        <v>237</v>
      </c>
      <c r="C342" s="49" t="s">
        <v>52</v>
      </c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9" t="s">
        <v>230</v>
      </c>
      <c r="B343" s="50" t="s">
        <v>238</v>
      </c>
      <c r="C343" s="49" t="s">
        <v>34</v>
      </c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9" t="s">
        <v>230</v>
      </c>
      <c r="B344" s="50" t="s">
        <v>238</v>
      </c>
      <c r="C344" s="49" t="s">
        <v>50</v>
      </c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9" t="s">
        <v>230</v>
      </c>
      <c r="B345" s="50" t="s">
        <v>238</v>
      </c>
      <c r="C345" s="49" t="s">
        <v>52</v>
      </c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9" t="s">
        <v>230</v>
      </c>
      <c r="B346" s="50" t="s">
        <v>239</v>
      </c>
      <c r="C346" s="49" t="s">
        <v>34</v>
      </c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9" t="s">
        <v>230</v>
      </c>
      <c r="B347" s="50" t="s">
        <v>239</v>
      </c>
      <c r="C347" s="49" t="s">
        <v>50</v>
      </c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9" t="s">
        <v>230</v>
      </c>
      <c r="B348" s="50" t="s">
        <v>239</v>
      </c>
      <c r="C348" s="49" t="s">
        <v>52</v>
      </c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9" t="s">
        <v>230</v>
      </c>
      <c r="B349" s="50" t="s">
        <v>240</v>
      </c>
      <c r="C349" s="49" t="s">
        <v>34</v>
      </c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9" t="s">
        <v>230</v>
      </c>
      <c r="B350" s="50" t="s">
        <v>240</v>
      </c>
      <c r="C350" s="49" t="s">
        <v>50</v>
      </c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9" t="s">
        <v>230</v>
      </c>
      <c r="B351" s="50" t="s">
        <v>240</v>
      </c>
      <c r="C351" s="49" t="s">
        <v>52</v>
      </c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9" t="s">
        <v>230</v>
      </c>
      <c r="B352" s="50" t="s">
        <v>241</v>
      </c>
      <c r="C352" s="49" t="s">
        <v>34</v>
      </c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9" t="s">
        <v>230</v>
      </c>
      <c r="B353" s="50" t="s">
        <v>241</v>
      </c>
      <c r="C353" s="49" t="s">
        <v>50</v>
      </c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9" t="s">
        <v>230</v>
      </c>
      <c r="B354" s="50" t="s">
        <v>241</v>
      </c>
      <c r="C354" s="49" t="s">
        <v>52</v>
      </c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9" t="s">
        <v>230</v>
      </c>
      <c r="B355" s="50" t="s">
        <v>242</v>
      </c>
      <c r="C355" s="49" t="s">
        <v>34</v>
      </c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9" t="s">
        <v>230</v>
      </c>
      <c r="B356" s="50" t="s">
        <v>242</v>
      </c>
      <c r="C356" s="49" t="s">
        <v>50</v>
      </c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9" t="s">
        <v>230</v>
      </c>
      <c r="B357" s="50" t="s">
        <v>242</v>
      </c>
      <c r="C357" s="49" t="s">
        <v>52</v>
      </c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9" t="s">
        <v>230</v>
      </c>
      <c r="B358" s="50" t="s">
        <v>243</v>
      </c>
      <c r="C358" s="49" t="s">
        <v>34</v>
      </c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9" t="s">
        <v>230</v>
      </c>
      <c r="B359" s="50" t="s">
        <v>243</v>
      </c>
      <c r="C359" s="49" t="s">
        <v>50</v>
      </c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9" t="s">
        <v>230</v>
      </c>
      <c r="B360" s="50" t="s">
        <v>243</v>
      </c>
      <c r="C360" s="49" t="s">
        <v>52</v>
      </c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9" t="s">
        <v>230</v>
      </c>
      <c r="B361" s="50" t="s">
        <v>244</v>
      </c>
      <c r="C361" s="49" t="s">
        <v>245</v>
      </c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9" t="s">
        <v>230</v>
      </c>
      <c r="B362" s="50" t="s">
        <v>244</v>
      </c>
      <c r="C362" s="49" t="s">
        <v>50</v>
      </c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9" t="s">
        <v>230</v>
      </c>
      <c r="B363" s="50" t="s">
        <v>244</v>
      </c>
      <c r="C363" s="49" t="s">
        <v>52</v>
      </c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9" t="s">
        <v>230</v>
      </c>
      <c r="B364" s="50" t="s">
        <v>246</v>
      </c>
      <c r="C364" s="49" t="s">
        <v>34</v>
      </c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9" t="s">
        <v>230</v>
      </c>
      <c r="B365" s="50" t="s">
        <v>246</v>
      </c>
      <c r="C365" s="49" t="s">
        <v>50</v>
      </c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9" t="s">
        <v>230</v>
      </c>
      <c r="B366" s="50" t="s">
        <v>246</v>
      </c>
      <c r="C366" s="49" t="s">
        <v>52</v>
      </c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9" t="s">
        <v>230</v>
      </c>
      <c r="B367" s="50" t="s">
        <v>247</v>
      </c>
      <c r="C367" s="49" t="s">
        <v>34</v>
      </c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9" t="s">
        <v>230</v>
      </c>
      <c r="B368" s="50" t="s">
        <v>247</v>
      </c>
      <c r="C368" s="49" t="s">
        <v>50</v>
      </c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9" t="s">
        <v>230</v>
      </c>
      <c r="B369" s="50" t="s">
        <v>247</v>
      </c>
      <c r="C369" s="49" t="s">
        <v>52</v>
      </c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9" t="s">
        <v>230</v>
      </c>
      <c r="B370" s="50" t="s">
        <v>248</v>
      </c>
      <c r="C370" s="49" t="s">
        <v>34</v>
      </c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9" t="s">
        <v>230</v>
      </c>
      <c r="B371" s="50" t="s">
        <v>248</v>
      </c>
      <c r="C371" s="49" t="s">
        <v>50</v>
      </c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9" t="s">
        <v>230</v>
      </c>
      <c r="B372" s="50" t="s">
        <v>248</v>
      </c>
      <c r="C372" s="49" t="s">
        <v>52</v>
      </c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9" t="s">
        <v>230</v>
      </c>
      <c r="B373" s="50" t="s">
        <v>249</v>
      </c>
      <c r="C373" s="49" t="s">
        <v>34</v>
      </c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9" t="s">
        <v>230</v>
      </c>
      <c r="B374" s="50" t="s">
        <v>249</v>
      </c>
      <c r="C374" s="49" t="s">
        <v>50</v>
      </c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9" t="s">
        <v>230</v>
      </c>
      <c r="B375" s="50" t="s">
        <v>249</v>
      </c>
      <c r="C375" s="49" t="s">
        <v>52</v>
      </c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9" t="s">
        <v>230</v>
      </c>
      <c r="B376" s="50" t="s">
        <v>250</v>
      </c>
      <c r="C376" s="49" t="s">
        <v>34</v>
      </c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9" t="s">
        <v>230</v>
      </c>
      <c r="B377" s="50" t="s">
        <v>250</v>
      </c>
      <c r="C377" s="49" t="s">
        <v>50</v>
      </c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9" t="s">
        <v>230</v>
      </c>
      <c r="B378" s="50" t="s">
        <v>250</v>
      </c>
      <c r="C378" s="49" t="s">
        <v>52</v>
      </c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9" t="s">
        <v>230</v>
      </c>
      <c r="B379" s="50" t="s">
        <v>251</v>
      </c>
      <c r="C379" s="49" t="s">
        <v>34</v>
      </c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9" t="s">
        <v>230</v>
      </c>
      <c r="B380" s="50" t="s">
        <v>251</v>
      </c>
      <c r="C380" s="49" t="s">
        <v>50</v>
      </c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9" t="s">
        <v>230</v>
      </c>
      <c r="B381" s="50" t="s">
        <v>251</v>
      </c>
      <c r="C381" s="49" t="s">
        <v>52</v>
      </c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9" t="s">
        <v>230</v>
      </c>
      <c r="B382" s="50" t="s">
        <v>252</v>
      </c>
      <c r="C382" s="49" t="s">
        <v>34</v>
      </c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9" t="s">
        <v>230</v>
      </c>
      <c r="B383" s="50" t="s">
        <v>252</v>
      </c>
      <c r="C383" s="49" t="s">
        <v>50</v>
      </c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9" t="s">
        <v>230</v>
      </c>
      <c r="B384" s="50" t="s">
        <v>252</v>
      </c>
      <c r="C384" s="49" t="s">
        <v>52</v>
      </c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9" t="s">
        <v>230</v>
      </c>
      <c r="B385" s="50" t="s">
        <v>253</v>
      </c>
      <c r="C385" s="49" t="s">
        <v>34</v>
      </c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9" t="s">
        <v>230</v>
      </c>
      <c r="B386" s="50" t="s">
        <v>253</v>
      </c>
      <c r="C386" s="49" t="s">
        <v>50</v>
      </c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9" t="s">
        <v>230</v>
      </c>
      <c r="B387" s="50" t="s">
        <v>253</v>
      </c>
      <c r="C387" s="49" t="s">
        <v>52</v>
      </c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9" t="s">
        <v>230</v>
      </c>
      <c r="B388" s="50" t="s">
        <v>254</v>
      </c>
      <c r="C388" s="49" t="s">
        <v>34</v>
      </c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9" t="s">
        <v>230</v>
      </c>
      <c r="B389" s="50" t="s">
        <v>254</v>
      </c>
      <c r="C389" s="49" t="s">
        <v>50</v>
      </c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9" t="s">
        <v>230</v>
      </c>
      <c r="B390" s="50" t="s">
        <v>254</v>
      </c>
      <c r="C390" s="49" t="s">
        <v>52</v>
      </c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9" t="s">
        <v>230</v>
      </c>
      <c r="B391" s="50" t="s">
        <v>255</v>
      </c>
      <c r="C391" s="49" t="s">
        <v>34</v>
      </c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9" t="s">
        <v>230</v>
      </c>
      <c r="B392" s="50" t="s">
        <v>255</v>
      </c>
      <c r="C392" s="49" t="s">
        <v>50</v>
      </c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9" t="s">
        <v>230</v>
      </c>
      <c r="B393" s="50" t="s">
        <v>255</v>
      </c>
      <c r="C393" s="49" t="s">
        <v>52</v>
      </c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9" t="s">
        <v>230</v>
      </c>
      <c r="B394" s="50" t="s">
        <v>256</v>
      </c>
      <c r="C394" s="49" t="s">
        <v>34</v>
      </c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9" t="s">
        <v>230</v>
      </c>
      <c r="B395" s="50" t="s">
        <v>256</v>
      </c>
      <c r="C395" s="49" t="s">
        <v>50</v>
      </c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9" t="s">
        <v>230</v>
      </c>
      <c r="B396" s="50" t="s">
        <v>256</v>
      </c>
      <c r="C396" s="49" t="s">
        <v>52</v>
      </c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9" t="s">
        <v>230</v>
      </c>
      <c r="B397" s="50" t="s">
        <v>257</v>
      </c>
      <c r="C397" s="49" t="s">
        <v>34</v>
      </c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9" t="s">
        <v>230</v>
      </c>
      <c r="B398" s="50" t="s">
        <v>257</v>
      </c>
      <c r="C398" s="49" t="s">
        <v>50</v>
      </c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9" t="s">
        <v>230</v>
      </c>
      <c r="B399" s="50" t="s">
        <v>257</v>
      </c>
      <c r="C399" s="49" t="s">
        <v>52</v>
      </c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9" t="s">
        <v>230</v>
      </c>
      <c r="B400" s="50" t="s">
        <v>258</v>
      </c>
      <c r="C400" s="49" t="s">
        <v>34</v>
      </c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9" t="s">
        <v>230</v>
      </c>
      <c r="B401" s="50" t="s">
        <v>258</v>
      </c>
      <c r="C401" s="49" t="s">
        <v>50</v>
      </c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9" t="s">
        <v>230</v>
      </c>
      <c r="B402" s="50" t="s">
        <v>258</v>
      </c>
      <c r="C402" s="49" t="s">
        <v>52</v>
      </c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9" t="s">
        <v>230</v>
      </c>
      <c r="B403" s="50" t="s">
        <v>259</v>
      </c>
      <c r="C403" s="49" t="s">
        <v>34</v>
      </c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9" t="s">
        <v>230</v>
      </c>
      <c r="B404" s="50" t="s">
        <v>259</v>
      </c>
      <c r="C404" s="49" t="s">
        <v>50</v>
      </c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9" t="s">
        <v>230</v>
      </c>
      <c r="B405" s="50" t="s">
        <v>259</v>
      </c>
      <c r="C405" s="49" t="s">
        <v>52</v>
      </c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9" t="s">
        <v>230</v>
      </c>
      <c r="B406" s="50" t="s">
        <v>260</v>
      </c>
      <c r="C406" s="49" t="s">
        <v>34</v>
      </c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9" t="s">
        <v>230</v>
      </c>
      <c r="B407" s="50" t="s">
        <v>260</v>
      </c>
      <c r="C407" s="49" t="s">
        <v>50</v>
      </c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9" t="s">
        <v>230</v>
      </c>
      <c r="B408" s="50" t="s">
        <v>260</v>
      </c>
      <c r="C408" s="49" t="s">
        <v>52</v>
      </c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9" t="s">
        <v>230</v>
      </c>
      <c r="B409" s="50" t="s">
        <v>261</v>
      </c>
      <c r="C409" s="49" t="s">
        <v>34</v>
      </c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9" t="s">
        <v>230</v>
      </c>
      <c r="B410" s="50" t="s">
        <v>261</v>
      </c>
      <c r="C410" s="49" t="s">
        <v>50</v>
      </c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9" t="s">
        <v>230</v>
      </c>
      <c r="B411" s="50" t="s">
        <v>261</v>
      </c>
      <c r="C411" s="49" t="s">
        <v>52</v>
      </c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6" t="s">
        <v>262</v>
      </c>
      <c r="B412" s="51" t="s">
        <v>263</v>
      </c>
      <c r="C412" s="6" t="s">
        <v>39</v>
      </c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6" t="s">
        <v>262</v>
      </c>
      <c r="B413" s="51" t="s">
        <v>263</v>
      </c>
      <c r="C413" s="6" t="s">
        <v>264</v>
      </c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6" t="s">
        <v>262</v>
      </c>
      <c r="B414" s="51" t="s">
        <v>265</v>
      </c>
      <c r="C414" s="6" t="s">
        <v>34</v>
      </c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6" t="s">
        <v>262</v>
      </c>
      <c r="B415" s="51" t="s">
        <v>265</v>
      </c>
      <c r="C415" s="6" t="s">
        <v>39</v>
      </c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6" t="s">
        <v>262</v>
      </c>
      <c r="B416" s="51" t="s">
        <v>265</v>
      </c>
      <c r="C416" s="6" t="s">
        <v>69</v>
      </c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6" t="s">
        <v>262</v>
      </c>
      <c r="B417" s="51" t="s">
        <v>266</v>
      </c>
      <c r="C417" s="6" t="s">
        <v>34</v>
      </c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6" t="s">
        <v>262</v>
      </c>
      <c r="B418" s="51" t="s">
        <v>266</v>
      </c>
      <c r="C418" s="6" t="s">
        <v>39</v>
      </c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6" t="s">
        <v>262</v>
      </c>
      <c r="B419" s="51" t="s">
        <v>266</v>
      </c>
      <c r="C419" s="6" t="s">
        <v>69</v>
      </c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6" t="s">
        <v>262</v>
      </c>
      <c r="B420" s="51" t="s">
        <v>267</v>
      </c>
      <c r="C420" s="6" t="s">
        <v>34</v>
      </c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6" t="s">
        <v>262</v>
      </c>
      <c r="B421" s="51" t="s">
        <v>267</v>
      </c>
      <c r="C421" s="6" t="s">
        <v>39</v>
      </c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6" t="s">
        <v>262</v>
      </c>
      <c r="B422" s="51" t="s">
        <v>267</v>
      </c>
      <c r="C422" s="6" t="s">
        <v>264</v>
      </c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6" t="s">
        <v>262</v>
      </c>
      <c r="B423" s="51" t="s">
        <v>268</v>
      </c>
      <c r="C423" s="67" t="s">
        <v>34</v>
      </c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6" t="s">
        <v>262</v>
      </c>
      <c r="B424" s="51" t="s">
        <v>268</v>
      </c>
      <c r="C424" s="67" t="s">
        <v>39</v>
      </c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6" t="s">
        <v>262</v>
      </c>
      <c r="B425" s="51" t="s">
        <v>268</v>
      </c>
      <c r="C425" s="67" t="s">
        <v>69</v>
      </c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6" t="s">
        <v>262</v>
      </c>
      <c r="B426" s="51" t="s">
        <v>269</v>
      </c>
      <c r="C426" s="67" t="s">
        <v>34</v>
      </c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6" t="s">
        <v>262</v>
      </c>
      <c r="B427" s="51" t="s">
        <v>269</v>
      </c>
      <c r="C427" s="67" t="s">
        <v>39</v>
      </c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6" t="s">
        <v>262</v>
      </c>
      <c r="B428" s="51" t="s">
        <v>269</v>
      </c>
      <c r="C428" s="67" t="s">
        <v>69</v>
      </c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6" t="s">
        <v>262</v>
      </c>
      <c r="B429" s="51" t="s">
        <v>270</v>
      </c>
      <c r="C429" s="67" t="s">
        <v>34</v>
      </c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6" t="s">
        <v>262</v>
      </c>
      <c r="B430" s="51" t="s">
        <v>270</v>
      </c>
      <c r="C430" s="67" t="s">
        <v>39</v>
      </c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6" t="s">
        <v>262</v>
      </c>
      <c r="B431" s="51" t="s">
        <v>270</v>
      </c>
      <c r="C431" s="67" t="s">
        <v>69</v>
      </c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6" t="s">
        <v>262</v>
      </c>
      <c r="B432" s="51" t="s">
        <v>271</v>
      </c>
      <c r="C432" s="67" t="s">
        <v>34</v>
      </c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6" t="s">
        <v>262</v>
      </c>
      <c r="B433" s="51" t="s">
        <v>271</v>
      </c>
      <c r="C433" s="67" t="s">
        <v>39</v>
      </c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6" t="s">
        <v>262</v>
      </c>
      <c r="B434" s="51" t="s">
        <v>271</v>
      </c>
      <c r="C434" s="67" t="s">
        <v>69</v>
      </c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6" t="s">
        <v>262</v>
      </c>
      <c r="B435" s="51" t="s">
        <v>272</v>
      </c>
      <c r="C435" s="67" t="s">
        <v>34</v>
      </c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6" t="s">
        <v>262</v>
      </c>
      <c r="B436" s="51" t="s">
        <v>272</v>
      </c>
      <c r="C436" s="67" t="s">
        <v>39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6" t="s">
        <v>262</v>
      </c>
      <c r="B437" s="51" t="s">
        <v>272</v>
      </c>
      <c r="C437" s="67" t="s">
        <v>69</v>
      </c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6" t="s">
        <v>262</v>
      </c>
      <c r="B438" s="51" t="s">
        <v>273</v>
      </c>
      <c r="C438" s="67" t="s">
        <v>34</v>
      </c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6" t="s">
        <v>262</v>
      </c>
      <c r="B439" s="51" t="s">
        <v>273</v>
      </c>
      <c r="C439" s="67" t="s">
        <v>39</v>
      </c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6" t="s">
        <v>262</v>
      </c>
      <c r="B440" s="51" t="s">
        <v>273</v>
      </c>
      <c r="C440" s="67" t="s">
        <v>69</v>
      </c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6" t="s">
        <v>262</v>
      </c>
      <c r="B441" s="51" t="s">
        <v>274</v>
      </c>
      <c r="C441" s="67" t="s">
        <v>34</v>
      </c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6" t="s">
        <v>262</v>
      </c>
      <c r="B442" s="51" t="s">
        <v>274</v>
      </c>
      <c r="C442" s="67" t="s">
        <v>39</v>
      </c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6" t="s">
        <v>262</v>
      </c>
      <c r="B443" s="51" t="s">
        <v>274</v>
      </c>
      <c r="C443" s="67" t="s">
        <v>69</v>
      </c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6" t="s">
        <v>262</v>
      </c>
      <c r="B444" s="51" t="s">
        <v>275</v>
      </c>
      <c r="C444" s="67" t="s">
        <v>34</v>
      </c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6" t="s">
        <v>262</v>
      </c>
      <c r="B445" s="51" t="s">
        <v>275</v>
      </c>
      <c r="C445" s="67" t="s">
        <v>39</v>
      </c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6" t="s">
        <v>262</v>
      </c>
      <c r="B446" s="51" t="s">
        <v>275</v>
      </c>
      <c r="C446" s="67" t="s">
        <v>69</v>
      </c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6" t="s">
        <v>262</v>
      </c>
      <c r="B447" s="51" t="s">
        <v>276</v>
      </c>
      <c r="C447" s="67" t="s">
        <v>34</v>
      </c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6" t="s">
        <v>262</v>
      </c>
      <c r="B448" s="51" t="s">
        <v>276</v>
      </c>
      <c r="C448" s="67" t="s">
        <v>39</v>
      </c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6" t="s">
        <v>262</v>
      </c>
      <c r="B449" s="51" t="s">
        <v>276</v>
      </c>
      <c r="C449" s="67" t="s">
        <v>69</v>
      </c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6" t="s">
        <v>262</v>
      </c>
      <c r="B450" s="51" t="s">
        <v>277</v>
      </c>
      <c r="C450" s="67" t="s">
        <v>34</v>
      </c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6" t="s">
        <v>262</v>
      </c>
      <c r="B451" s="51" t="s">
        <v>277</v>
      </c>
      <c r="C451" s="67" t="s">
        <v>39</v>
      </c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6" t="s">
        <v>262</v>
      </c>
      <c r="B452" s="51" t="s">
        <v>277</v>
      </c>
      <c r="C452" s="67" t="s">
        <v>69</v>
      </c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6" t="s">
        <v>262</v>
      </c>
      <c r="B453" s="51" t="s">
        <v>278</v>
      </c>
      <c r="C453" s="67" t="s">
        <v>34</v>
      </c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6" t="s">
        <v>262</v>
      </c>
      <c r="B454" s="51" t="s">
        <v>278</v>
      </c>
      <c r="C454" s="67" t="s">
        <v>39</v>
      </c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6" t="s">
        <v>262</v>
      </c>
      <c r="B455" s="51" t="s">
        <v>278</v>
      </c>
      <c r="C455" s="67" t="s">
        <v>69</v>
      </c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6" t="s">
        <v>262</v>
      </c>
      <c r="B456" s="51" t="s">
        <v>279</v>
      </c>
      <c r="C456" s="67" t="s">
        <v>34</v>
      </c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6" t="s">
        <v>262</v>
      </c>
      <c r="B457" s="51" t="s">
        <v>279</v>
      </c>
      <c r="C457" s="67" t="s">
        <v>39</v>
      </c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6" t="s">
        <v>262</v>
      </c>
      <c r="B458" s="51" t="s">
        <v>279</v>
      </c>
      <c r="C458" s="67" t="s">
        <v>69</v>
      </c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6" t="s">
        <v>262</v>
      </c>
      <c r="B459" s="51" t="s">
        <v>280</v>
      </c>
      <c r="C459" s="67" t="s">
        <v>34</v>
      </c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6" t="s">
        <v>262</v>
      </c>
      <c r="B460" s="51" t="s">
        <v>280</v>
      </c>
      <c r="C460" s="67" t="s">
        <v>39</v>
      </c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6" t="s">
        <v>262</v>
      </c>
      <c r="B461" s="51" t="s">
        <v>280</v>
      </c>
      <c r="C461" s="67" t="s">
        <v>69</v>
      </c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6" t="s">
        <v>262</v>
      </c>
      <c r="B462" s="51" t="s">
        <v>281</v>
      </c>
      <c r="C462" s="67" t="s">
        <v>34</v>
      </c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6" t="s">
        <v>262</v>
      </c>
      <c r="B463" s="51" t="s">
        <v>281</v>
      </c>
      <c r="C463" s="67" t="s">
        <v>39</v>
      </c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6" t="s">
        <v>262</v>
      </c>
      <c r="B464" s="51" t="s">
        <v>281</v>
      </c>
      <c r="C464" s="67" t="s">
        <v>69</v>
      </c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6" t="s">
        <v>262</v>
      </c>
      <c r="B465" s="51" t="s">
        <v>282</v>
      </c>
      <c r="C465" s="67" t="s">
        <v>34</v>
      </c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6" t="s">
        <v>262</v>
      </c>
      <c r="B466" s="51" t="s">
        <v>282</v>
      </c>
      <c r="C466" s="67" t="s">
        <v>39</v>
      </c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6" t="s">
        <v>262</v>
      </c>
      <c r="B467" s="51" t="s">
        <v>282</v>
      </c>
      <c r="C467" s="67" t="s">
        <v>69</v>
      </c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6" t="s">
        <v>262</v>
      </c>
      <c r="B468" s="51" t="s">
        <v>283</v>
      </c>
      <c r="C468" s="67" t="s">
        <v>34</v>
      </c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6" t="s">
        <v>262</v>
      </c>
      <c r="B469" s="51" t="s">
        <v>283</v>
      </c>
      <c r="C469" s="67" t="s">
        <v>39</v>
      </c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6" t="s">
        <v>262</v>
      </c>
      <c r="B470" s="51" t="s">
        <v>283</v>
      </c>
      <c r="C470" s="67" t="s">
        <v>69</v>
      </c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6" t="s">
        <v>262</v>
      </c>
      <c r="B471" s="51" t="s">
        <v>284</v>
      </c>
      <c r="C471" s="67" t="s">
        <v>34</v>
      </c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6" t="s">
        <v>262</v>
      </c>
      <c r="B472" s="51" t="s">
        <v>284</v>
      </c>
      <c r="C472" s="67" t="s">
        <v>39</v>
      </c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6" t="s">
        <v>262</v>
      </c>
      <c r="B473" s="51" t="s">
        <v>284</v>
      </c>
      <c r="C473" s="67" t="s">
        <v>69</v>
      </c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6" t="s">
        <v>262</v>
      </c>
      <c r="B474" s="51" t="s">
        <v>285</v>
      </c>
      <c r="C474" s="67" t="s">
        <v>34</v>
      </c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6" t="s">
        <v>262</v>
      </c>
      <c r="B475" s="51" t="s">
        <v>285</v>
      </c>
      <c r="C475" s="67" t="s">
        <v>39</v>
      </c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6" t="s">
        <v>262</v>
      </c>
      <c r="B476" s="51" t="s">
        <v>285</v>
      </c>
      <c r="C476" s="67" t="s">
        <v>69</v>
      </c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6" t="s">
        <v>262</v>
      </c>
      <c r="B477" s="51" t="s">
        <v>286</v>
      </c>
      <c r="C477" s="67" t="s">
        <v>34</v>
      </c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6" t="s">
        <v>262</v>
      </c>
      <c r="B478" s="51" t="s">
        <v>286</v>
      </c>
      <c r="C478" s="67" t="s">
        <v>39</v>
      </c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6" t="s">
        <v>262</v>
      </c>
      <c r="B479" s="51" t="s">
        <v>286</v>
      </c>
      <c r="C479" s="67" t="s">
        <v>69</v>
      </c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6" t="s">
        <v>262</v>
      </c>
      <c r="B480" s="51" t="s">
        <v>287</v>
      </c>
      <c r="C480" s="67" t="s">
        <v>34</v>
      </c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6" t="s">
        <v>262</v>
      </c>
      <c r="B481" s="51" t="s">
        <v>287</v>
      </c>
      <c r="C481" s="67" t="s">
        <v>39</v>
      </c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6" t="s">
        <v>262</v>
      </c>
      <c r="B482" s="51" t="s">
        <v>287</v>
      </c>
      <c r="C482" s="67" t="s">
        <v>69</v>
      </c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6" t="s">
        <v>262</v>
      </c>
      <c r="B483" s="51" t="s">
        <v>288</v>
      </c>
      <c r="C483" s="67" t="s">
        <v>34</v>
      </c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6" t="s">
        <v>262</v>
      </c>
      <c r="B484" s="51" t="s">
        <v>288</v>
      </c>
      <c r="C484" s="67" t="s">
        <v>39</v>
      </c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6" t="s">
        <v>262</v>
      </c>
      <c r="B485" s="51" t="s">
        <v>288</v>
      </c>
      <c r="C485" s="67" t="s">
        <v>69</v>
      </c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6" t="s">
        <v>262</v>
      </c>
      <c r="B486" s="51" t="s">
        <v>289</v>
      </c>
      <c r="C486" s="6" t="s">
        <v>34</v>
      </c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6" t="s">
        <v>262</v>
      </c>
      <c r="B487" s="51" t="s">
        <v>289</v>
      </c>
      <c r="C487" s="6" t="s">
        <v>39</v>
      </c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6" t="s">
        <v>262</v>
      </c>
      <c r="B488" s="51" t="s">
        <v>289</v>
      </c>
      <c r="C488" s="6" t="s">
        <v>264</v>
      </c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6" t="s">
        <v>262</v>
      </c>
      <c r="B489" s="51" t="s">
        <v>290</v>
      </c>
      <c r="C489" s="6" t="s">
        <v>34</v>
      </c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6" t="s">
        <v>262</v>
      </c>
      <c r="B490" s="51" t="s">
        <v>290</v>
      </c>
      <c r="C490" s="6" t="s">
        <v>39</v>
      </c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6" t="s">
        <v>262</v>
      </c>
      <c r="B491" s="51" t="s">
        <v>290</v>
      </c>
      <c r="C491" s="6" t="s">
        <v>69</v>
      </c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6" t="s">
        <v>262</v>
      </c>
      <c r="B492" s="51" t="s">
        <v>291</v>
      </c>
      <c r="C492" s="6" t="s">
        <v>34</v>
      </c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6" t="s">
        <v>262</v>
      </c>
      <c r="B493" s="51" t="s">
        <v>291</v>
      </c>
      <c r="C493" s="6" t="s">
        <v>39</v>
      </c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6" t="s">
        <v>262</v>
      </c>
      <c r="B494" s="51" t="s">
        <v>291</v>
      </c>
      <c r="C494" s="6" t="s">
        <v>264</v>
      </c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6" t="s">
        <v>262</v>
      </c>
      <c r="B495" s="51" t="s">
        <v>292</v>
      </c>
      <c r="C495" s="6" t="s">
        <v>34</v>
      </c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6" t="s">
        <v>262</v>
      </c>
      <c r="B496" s="51" t="s">
        <v>292</v>
      </c>
      <c r="C496" s="6" t="s">
        <v>39</v>
      </c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6" t="s">
        <v>262</v>
      </c>
      <c r="B497" s="51" t="s">
        <v>292</v>
      </c>
      <c r="C497" s="6" t="s">
        <v>264</v>
      </c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6" t="s">
        <v>262</v>
      </c>
      <c r="B498" s="51" t="s">
        <v>293</v>
      </c>
      <c r="C498" s="6" t="s">
        <v>34</v>
      </c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6" t="s">
        <v>262</v>
      </c>
      <c r="B499" s="51" t="s">
        <v>293</v>
      </c>
      <c r="C499" s="6" t="s">
        <v>39</v>
      </c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6" t="s">
        <v>262</v>
      </c>
      <c r="B500" s="51" t="s">
        <v>293</v>
      </c>
      <c r="C500" s="6" t="s">
        <v>264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6" t="s">
        <v>262</v>
      </c>
      <c r="B501" s="51" t="s">
        <v>294</v>
      </c>
      <c r="C501" s="6" t="s">
        <v>34</v>
      </c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6" t="s">
        <v>262</v>
      </c>
      <c r="B502" s="51" t="s">
        <v>294</v>
      </c>
      <c r="C502" s="6" t="s">
        <v>39</v>
      </c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6" t="s">
        <v>262</v>
      </c>
      <c r="B503" s="51" t="s">
        <v>294</v>
      </c>
      <c r="C503" s="6" t="s">
        <v>264</v>
      </c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6" t="s">
        <v>262</v>
      </c>
      <c r="B504" s="51" t="s">
        <v>295</v>
      </c>
      <c r="C504" s="6" t="s">
        <v>34</v>
      </c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6" t="s">
        <v>262</v>
      </c>
      <c r="B505" s="51" t="s">
        <v>295</v>
      </c>
      <c r="C505" s="6" t="s">
        <v>39</v>
      </c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6" t="s">
        <v>262</v>
      </c>
      <c r="B506" s="51" t="s">
        <v>295</v>
      </c>
      <c r="C506" s="6" t="s">
        <v>264</v>
      </c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6" t="s">
        <v>262</v>
      </c>
      <c r="B507" s="51" t="s">
        <v>296</v>
      </c>
      <c r="C507" s="6" t="s">
        <v>34</v>
      </c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6" t="s">
        <v>262</v>
      </c>
      <c r="B508" s="51" t="s">
        <v>296</v>
      </c>
      <c r="C508" s="6" t="s">
        <v>39</v>
      </c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6" t="s">
        <v>262</v>
      </c>
      <c r="B509" s="51" t="s">
        <v>296</v>
      </c>
      <c r="C509" s="6" t="s">
        <v>264</v>
      </c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12" t="s">
        <v>297</v>
      </c>
      <c r="B510" s="52" t="s">
        <v>298</v>
      </c>
      <c r="C510" s="12" t="s">
        <v>64</v>
      </c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12" t="s">
        <v>297</v>
      </c>
      <c r="B511" s="52" t="s">
        <v>298</v>
      </c>
      <c r="C511" s="12" t="s">
        <v>66</v>
      </c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12" t="s">
        <v>297</v>
      </c>
      <c r="B512" s="52" t="s">
        <v>299</v>
      </c>
      <c r="C512" s="12" t="s">
        <v>54</v>
      </c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12" t="s">
        <v>297</v>
      </c>
      <c r="B513" s="52" t="s">
        <v>299</v>
      </c>
      <c r="C513" s="12" t="s">
        <v>64</v>
      </c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12" t="s">
        <v>297</v>
      </c>
      <c r="B514" s="52" t="s">
        <v>299</v>
      </c>
      <c r="C514" s="12" t="s">
        <v>66</v>
      </c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12" t="s">
        <v>297</v>
      </c>
      <c r="B515" s="52" t="s">
        <v>300</v>
      </c>
      <c r="C515" s="12" t="s">
        <v>54</v>
      </c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12" t="s">
        <v>297</v>
      </c>
      <c r="B516" s="52" t="s">
        <v>300</v>
      </c>
      <c r="C516" s="12" t="s">
        <v>64</v>
      </c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12" t="s">
        <v>297</v>
      </c>
      <c r="B517" s="52" t="s">
        <v>300</v>
      </c>
      <c r="C517" s="12" t="s">
        <v>66</v>
      </c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12" t="s">
        <v>297</v>
      </c>
      <c r="B518" s="52" t="s">
        <v>301</v>
      </c>
      <c r="C518" s="12" t="s">
        <v>54</v>
      </c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12" t="s">
        <v>297</v>
      </c>
      <c r="B519" s="52" t="s">
        <v>301</v>
      </c>
      <c r="C519" s="12" t="s">
        <v>64</v>
      </c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12" t="s">
        <v>297</v>
      </c>
      <c r="B520" s="52" t="s">
        <v>301</v>
      </c>
      <c r="C520" s="12" t="s">
        <v>66</v>
      </c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12" t="s">
        <v>297</v>
      </c>
      <c r="B521" s="52" t="s">
        <v>302</v>
      </c>
      <c r="C521" s="12" t="s">
        <v>54</v>
      </c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12" t="s">
        <v>297</v>
      </c>
      <c r="B522" s="52" t="s">
        <v>302</v>
      </c>
      <c r="C522" s="12" t="s">
        <v>64</v>
      </c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12" t="s">
        <v>297</v>
      </c>
      <c r="B523" s="52" t="s">
        <v>302</v>
      </c>
      <c r="C523" s="12" t="s">
        <v>66</v>
      </c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12" t="s">
        <v>297</v>
      </c>
      <c r="B524" s="68" t="s">
        <v>303</v>
      </c>
      <c r="C524" s="69" t="s">
        <v>54</v>
      </c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12" t="s">
        <v>297</v>
      </c>
      <c r="B525" s="68" t="s">
        <v>303</v>
      </c>
      <c r="C525" s="69" t="s">
        <v>64</v>
      </c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12" t="s">
        <v>297</v>
      </c>
      <c r="B526" s="68" t="s">
        <v>303</v>
      </c>
      <c r="C526" s="69" t="s">
        <v>66</v>
      </c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12" t="s">
        <v>297</v>
      </c>
      <c r="B527" s="68" t="s">
        <v>304</v>
      </c>
      <c r="C527" s="69" t="s">
        <v>54</v>
      </c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12" t="s">
        <v>297</v>
      </c>
      <c r="B528" s="68" t="s">
        <v>304</v>
      </c>
      <c r="C528" s="69" t="s">
        <v>64</v>
      </c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12" t="s">
        <v>297</v>
      </c>
      <c r="B529" s="68" t="s">
        <v>304</v>
      </c>
      <c r="C529" s="69" t="s">
        <v>66</v>
      </c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12" t="s">
        <v>297</v>
      </c>
      <c r="B530" s="68" t="s">
        <v>305</v>
      </c>
      <c r="C530" s="69" t="s">
        <v>54</v>
      </c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12" t="s">
        <v>297</v>
      </c>
      <c r="B531" s="68" t="s">
        <v>305</v>
      </c>
      <c r="C531" s="69" t="s">
        <v>64</v>
      </c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12" t="s">
        <v>297</v>
      </c>
      <c r="B532" s="68" t="s">
        <v>305</v>
      </c>
      <c r="C532" s="69" t="s">
        <v>66</v>
      </c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12" t="s">
        <v>297</v>
      </c>
      <c r="B533" s="68" t="s">
        <v>306</v>
      </c>
      <c r="C533" s="69" t="s">
        <v>54</v>
      </c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12" t="s">
        <v>297</v>
      </c>
      <c r="B534" s="68" t="s">
        <v>306</v>
      </c>
      <c r="C534" s="69" t="s">
        <v>64</v>
      </c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12" t="s">
        <v>297</v>
      </c>
      <c r="B535" s="68" t="s">
        <v>306</v>
      </c>
      <c r="C535" s="69" t="s">
        <v>66</v>
      </c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12" t="s">
        <v>297</v>
      </c>
      <c r="B536" s="68" t="s">
        <v>307</v>
      </c>
      <c r="C536" s="69" t="s">
        <v>54</v>
      </c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12" t="s">
        <v>297</v>
      </c>
      <c r="B537" s="68" t="s">
        <v>307</v>
      </c>
      <c r="C537" s="69" t="s">
        <v>64</v>
      </c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12" t="s">
        <v>297</v>
      </c>
      <c r="B538" s="68" t="s">
        <v>307</v>
      </c>
      <c r="C538" s="69" t="s">
        <v>66</v>
      </c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12" t="s">
        <v>297</v>
      </c>
      <c r="B539" s="68" t="s">
        <v>308</v>
      </c>
      <c r="C539" s="69" t="s">
        <v>54</v>
      </c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12" t="s">
        <v>297</v>
      </c>
      <c r="B540" s="68" t="s">
        <v>308</v>
      </c>
      <c r="C540" s="69" t="s">
        <v>64</v>
      </c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12" t="s">
        <v>297</v>
      </c>
      <c r="B541" s="68" t="s">
        <v>308</v>
      </c>
      <c r="C541" s="69" t="s">
        <v>66</v>
      </c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12" t="s">
        <v>297</v>
      </c>
      <c r="B542" s="68" t="s">
        <v>309</v>
      </c>
      <c r="C542" s="69" t="s">
        <v>54</v>
      </c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12" t="s">
        <v>297</v>
      </c>
      <c r="B543" s="68" t="s">
        <v>309</v>
      </c>
      <c r="C543" s="69" t="s">
        <v>64</v>
      </c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12" t="s">
        <v>297</v>
      </c>
      <c r="B544" s="68" t="s">
        <v>309</v>
      </c>
      <c r="C544" s="69" t="s">
        <v>66</v>
      </c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12" t="s">
        <v>297</v>
      </c>
      <c r="B545" s="68" t="s">
        <v>310</v>
      </c>
      <c r="C545" s="69" t="s">
        <v>54</v>
      </c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12" t="s">
        <v>297</v>
      </c>
      <c r="B546" s="68" t="s">
        <v>310</v>
      </c>
      <c r="C546" s="69" t="s">
        <v>64</v>
      </c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12" t="s">
        <v>297</v>
      </c>
      <c r="B547" s="68" t="s">
        <v>310</v>
      </c>
      <c r="C547" s="69" t="s">
        <v>66</v>
      </c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12" t="s">
        <v>297</v>
      </c>
      <c r="B548" s="68" t="s">
        <v>311</v>
      </c>
      <c r="C548" s="69" t="s">
        <v>54</v>
      </c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12" t="s">
        <v>297</v>
      </c>
      <c r="B549" s="68" t="s">
        <v>311</v>
      </c>
      <c r="C549" s="69" t="s">
        <v>64</v>
      </c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12" t="s">
        <v>297</v>
      </c>
      <c r="B550" s="68" t="s">
        <v>311</v>
      </c>
      <c r="C550" s="69" t="s">
        <v>66</v>
      </c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12" t="s">
        <v>297</v>
      </c>
      <c r="B551" s="68" t="s">
        <v>312</v>
      </c>
      <c r="C551" s="69" t="s">
        <v>54</v>
      </c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12" t="s">
        <v>297</v>
      </c>
      <c r="B552" s="68" t="s">
        <v>312</v>
      </c>
      <c r="C552" s="69" t="s">
        <v>64</v>
      </c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12" t="s">
        <v>297</v>
      </c>
      <c r="B553" s="68" t="s">
        <v>312</v>
      </c>
      <c r="C553" s="69" t="s">
        <v>66</v>
      </c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12" t="s">
        <v>297</v>
      </c>
      <c r="B554" s="68" t="s">
        <v>313</v>
      </c>
      <c r="C554" s="69" t="s">
        <v>54</v>
      </c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12" t="s">
        <v>297</v>
      </c>
      <c r="B555" s="68" t="s">
        <v>313</v>
      </c>
      <c r="C555" s="69" t="s">
        <v>64</v>
      </c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12" t="s">
        <v>297</v>
      </c>
      <c r="B556" s="68" t="s">
        <v>313</v>
      </c>
      <c r="C556" s="69" t="s">
        <v>66</v>
      </c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12" t="s">
        <v>297</v>
      </c>
      <c r="B557" s="68" t="s">
        <v>314</v>
      </c>
      <c r="C557" s="69" t="s">
        <v>54</v>
      </c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12" t="s">
        <v>297</v>
      </c>
      <c r="B558" s="68" t="s">
        <v>314</v>
      </c>
      <c r="C558" s="69" t="s">
        <v>64</v>
      </c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12" t="s">
        <v>297</v>
      </c>
      <c r="B559" s="68" t="s">
        <v>314</v>
      </c>
      <c r="C559" s="69" t="s">
        <v>66</v>
      </c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12" t="s">
        <v>297</v>
      </c>
      <c r="B560" s="68" t="s">
        <v>315</v>
      </c>
      <c r="C560" s="69" t="s">
        <v>54</v>
      </c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12" t="s">
        <v>297</v>
      </c>
      <c r="B561" s="68" t="s">
        <v>315</v>
      </c>
      <c r="C561" s="69" t="s">
        <v>64</v>
      </c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12" t="s">
        <v>297</v>
      </c>
      <c r="B562" s="68" t="s">
        <v>315</v>
      </c>
      <c r="C562" s="69" t="s">
        <v>66</v>
      </c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12" t="s">
        <v>297</v>
      </c>
      <c r="B563" s="68" t="s">
        <v>316</v>
      </c>
      <c r="C563" s="69" t="s">
        <v>54</v>
      </c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12" t="s">
        <v>297</v>
      </c>
      <c r="B564" s="68" t="s">
        <v>316</v>
      </c>
      <c r="C564" s="69" t="s">
        <v>64</v>
      </c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12" t="s">
        <v>297</v>
      </c>
      <c r="B565" s="68" t="s">
        <v>316</v>
      </c>
      <c r="C565" s="69" t="s">
        <v>66</v>
      </c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12" t="s">
        <v>297</v>
      </c>
      <c r="B566" s="68" t="s">
        <v>317</v>
      </c>
      <c r="C566" s="69" t="s">
        <v>54</v>
      </c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12" t="s">
        <v>297</v>
      </c>
      <c r="B567" s="68" t="s">
        <v>317</v>
      </c>
      <c r="C567" s="69" t="s">
        <v>64</v>
      </c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12" t="s">
        <v>297</v>
      </c>
      <c r="B568" s="68" t="s">
        <v>317</v>
      </c>
      <c r="C568" s="69" t="s">
        <v>66</v>
      </c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12" t="s">
        <v>297</v>
      </c>
      <c r="B569" s="68" t="s">
        <v>318</v>
      </c>
      <c r="C569" s="69" t="s">
        <v>54</v>
      </c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12" t="s">
        <v>297</v>
      </c>
      <c r="B570" s="68" t="s">
        <v>318</v>
      </c>
      <c r="C570" s="69" t="s">
        <v>64</v>
      </c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12" t="s">
        <v>297</v>
      </c>
      <c r="B571" s="68" t="s">
        <v>318</v>
      </c>
      <c r="C571" s="69" t="s">
        <v>66</v>
      </c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12" t="s">
        <v>297</v>
      </c>
      <c r="B572" s="68" t="s">
        <v>319</v>
      </c>
      <c r="C572" s="69" t="s">
        <v>54</v>
      </c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12" t="s">
        <v>297</v>
      </c>
      <c r="B573" s="68" t="s">
        <v>319</v>
      </c>
      <c r="C573" s="69" t="s">
        <v>64</v>
      </c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12" t="s">
        <v>297</v>
      </c>
      <c r="B574" s="68" t="s">
        <v>319</v>
      </c>
      <c r="C574" s="69" t="s">
        <v>66</v>
      </c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12" t="s">
        <v>297</v>
      </c>
      <c r="B575" s="68" t="s">
        <v>320</v>
      </c>
      <c r="C575" s="69" t="s">
        <v>54</v>
      </c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12" t="s">
        <v>297</v>
      </c>
      <c r="B576" s="68" t="s">
        <v>320</v>
      </c>
      <c r="C576" s="69" t="s">
        <v>64</v>
      </c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12" t="s">
        <v>297</v>
      </c>
      <c r="B577" s="68" t="s">
        <v>320</v>
      </c>
      <c r="C577" s="69" t="s">
        <v>66</v>
      </c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12" t="s">
        <v>297</v>
      </c>
      <c r="B578" s="68" t="s">
        <v>321</v>
      </c>
      <c r="C578" s="69" t="s">
        <v>54</v>
      </c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12" t="s">
        <v>297</v>
      </c>
      <c r="B579" s="68" t="s">
        <v>321</v>
      </c>
      <c r="C579" s="69" t="s">
        <v>64</v>
      </c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12" t="s">
        <v>297</v>
      </c>
      <c r="B580" s="68" t="s">
        <v>321</v>
      </c>
      <c r="C580" s="69" t="s">
        <v>66</v>
      </c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12" t="s">
        <v>297</v>
      </c>
      <c r="B581" s="68" t="s">
        <v>322</v>
      </c>
      <c r="C581" s="69" t="s">
        <v>54</v>
      </c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12" t="s">
        <v>297</v>
      </c>
      <c r="B582" s="68" t="s">
        <v>322</v>
      </c>
      <c r="C582" s="69" t="s">
        <v>64</v>
      </c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12" t="s">
        <v>297</v>
      </c>
      <c r="B583" s="68" t="s">
        <v>322</v>
      </c>
      <c r="C583" s="69" t="s">
        <v>66</v>
      </c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12" t="s">
        <v>297</v>
      </c>
      <c r="B584" s="68" t="s">
        <v>323</v>
      </c>
      <c r="C584" s="69" t="s">
        <v>54</v>
      </c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12" t="s">
        <v>297</v>
      </c>
      <c r="B585" s="68" t="s">
        <v>323</v>
      </c>
      <c r="C585" s="69" t="s">
        <v>64</v>
      </c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12" t="s">
        <v>297</v>
      </c>
      <c r="B586" s="68" t="s">
        <v>323</v>
      </c>
      <c r="C586" s="69" t="s">
        <v>66</v>
      </c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12" t="s">
        <v>297</v>
      </c>
      <c r="B587" s="68" t="s">
        <v>324</v>
      </c>
      <c r="C587" s="69" t="s">
        <v>54</v>
      </c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12" t="s">
        <v>297</v>
      </c>
      <c r="B588" s="68" t="s">
        <v>324</v>
      </c>
      <c r="C588" s="69" t="s">
        <v>64</v>
      </c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12" t="s">
        <v>297</v>
      </c>
      <c r="B589" s="68" t="s">
        <v>324</v>
      </c>
      <c r="C589" s="69" t="s">
        <v>66</v>
      </c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12" t="s">
        <v>297</v>
      </c>
      <c r="B590" s="68" t="s">
        <v>325</v>
      </c>
      <c r="C590" s="69" t="s">
        <v>54</v>
      </c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12" t="s">
        <v>297</v>
      </c>
      <c r="B591" s="68" t="s">
        <v>325</v>
      </c>
      <c r="C591" s="69" t="s">
        <v>64</v>
      </c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12" t="s">
        <v>297</v>
      </c>
      <c r="B592" s="68" t="s">
        <v>325</v>
      </c>
      <c r="C592" s="69" t="s">
        <v>66</v>
      </c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12" t="s">
        <v>297</v>
      </c>
      <c r="B593" s="68" t="s">
        <v>326</v>
      </c>
      <c r="C593" s="69" t="s">
        <v>54</v>
      </c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12" t="s">
        <v>297</v>
      </c>
      <c r="B594" s="68" t="s">
        <v>326</v>
      </c>
      <c r="C594" s="69" t="s">
        <v>64</v>
      </c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12" t="s">
        <v>297</v>
      </c>
      <c r="B595" s="68" t="s">
        <v>326</v>
      </c>
      <c r="C595" s="69" t="s">
        <v>66</v>
      </c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12" t="s">
        <v>297</v>
      </c>
      <c r="B596" s="68" t="s">
        <v>327</v>
      </c>
      <c r="C596" s="69" t="s">
        <v>54</v>
      </c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12" t="s">
        <v>297</v>
      </c>
      <c r="B597" s="68" t="s">
        <v>327</v>
      </c>
      <c r="C597" s="69" t="s">
        <v>64</v>
      </c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12" t="s">
        <v>297</v>
      </c>
      <c r="B598" s="68" t="s">
        <v>327</v>
      </c>
      <c r="C598" s="69" t="s">
        <v>66</v>
      </c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12" t="s">
        <v>297</v>
      </c>
      <c r="B599" s="68" t="s">
        <v>328</v>
      </c>
      <c r="C599" s="69" t="s">
        <v>54</v>
      </c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12" t="s">
        <v>297</v>
      </c>
      <c r="B600" s="68" t="s">
        <v>328</v>
      </c>
      <c r="C600" s="69" t="s">
        <v>64</v>
      </c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12" t="s">
        <v>297</v>
      </c>
      <c r="B601" s="68" t="s">
        <v>328</v>
      </c>
      <c r="C601" s="69" t="s">
        <v>66</v>
      </c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12" t="s">
        <v>297</v>
      </c>
      <c r="B602" s="68" t="s">
        <v>329</v>
      </c>
      <c r="C602" s="69" t="s">
        <v>54</v>
      </c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12" t="s">
        <v>297</v>
      </c>
      <c r="B603" s="68" t="s">
        <v>329</v>
      </c>
      <c r="C603" s="69" t="s">
        <v>64</v>
      </c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12" t="s">
        <v>297</v>
      </c>
      <c r="B604" s="68" t="s">
        <v>329</v>
      </c>
      <c r="C604" s="69" t="s">
        <v>66</v>
      </c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12" t="s">
        <v>297</v>
      </c>
      <c r="B605" s="68" t="s">
        <v>330</v>
      </c>
      <c r="C605" s="69" t="s">
        <v>54</v>
      </c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12" t="s">
        <v>297</v>
      </c>
      <c r="B606" s="68" t="s">
        <v>330</v>
      </c>
      <c r="C606" s="69" t="s">
        <v>64</v>
      </c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12" t="s">
        <v>297</v>
      </c>
      <c r="B607" s="68" t="s">
        <v>330</v>
      </c>
      <c r="C607" s="69" t="s">
        <v>66</v>
      </c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12" t="s">
        <v>297</v>
      </c>
      <c r="B608" s="68" t="s">
        <v>331</v>
      </c>
      <c r="C608" s="69" t="s">
        <v>54</v>
      </c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12" t="s">
        <v>297</v>
      </c>
      <c r="B609" s="68" t="s">
        <v>331</v>
      </c>
      <c r="C609" s="69" t="s">
        <v>64</v>
      </c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12" t="s">
        <v>297</v>
      </c>
      <c r="B610" s="68" t="s">
        <v>331</v>
      </c>
      <c r="C610" s="69" t="s">
        <v>66</v>
      </c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12" t="s">
        <v>297</v>
      </c>
      <c r="B611" s="68" t="s">
        <v>332</v>
      </c>
      <c r="C611" s="69" t="s">
        <v>54</v>
      </c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12" t="s">
        <v>297</v>
      </c>
      <c r="B612" s="68" t="s">
        <v>332</v>
      </c>
      <c r="C612" s="69" t="s">
        <v>64</v>
      </c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12" t="s">
        <v>297</v>
      </c>
      <c r="B613" s="68" t="s">
        <v>332</v>
      </c>
      <c r="C613" s="69" t="s">
        <v>66</v>
      </c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12" t="s">
        <v>297</v>
      </c>
      <c r="B614" s="68" t="s">
        <v>333</v>
      </c>
      <c r="C614" s="69" t="s">
        <v>54</v>
      </c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12" t="s">
        <v>297</v>
      </c>
      <c r="B615" s="68" t="s">
        <v>333</v>
      </c>
      <c r="C615" s="69" t="s">
        <v>64</v>
      </c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12" t="s">
        <v>297</v>
      </c>
      <c r="B616" s="68" t="s">
        <v>333</v>
      </c>
      <c r="C616" s="69" t="s">
        <v>66</v>
      </c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12" t="s">
        <v>297</v>
      </c>
      <c r="B617" s="68" t="s">
        <v>334</v>
      </c>
      <c r="C617" s="69" t="s">
        <v>54</v>
      </c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12" t="s">
        <v>297</v>
      </c>
      <c r="B618" s="68" t="s">
        <v>334</v>
      </c>
      <c r="C618" s="69" t="s">
        <v>64</v>
      </c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12" t="s">
        <v>297</v>
      </c>
      <c r="B619" s="68" t="s">
        <v>334</v>
      </c>
      <c r="C619" s="69" t="s">
        <v>66</v>
      </c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12" t="s">
        <v>297</v>
      </c>
      <c r="B620" s="68" t="s">
        <v>335</v>
      </c>
      <c r="C620" s="69" t="s">
        <v>54</v>
      </c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12" t="s">
        <v>297</v>
      </c>
      <c r="B621" s="68" t="s">
        <v>335</v>
      </c>
      <c r="C621" s="69" t="s">
        <v>64</v>
      </c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12" t="s">
        <v>297</v>
      </c>
      <c r="B622" s="68" t="s">
        <v>335</v>
      </c>
      <c r="C622" s="69" t="s">
        <v>66</v>
      </c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12" t="s">
        <v>297</v>
      </c>
      <c r="B623" s="68" t="s">
        <v>336</v>
      </c>
      <c r="C623" s="69" t="s">
        <v>54</v>
      </c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12" t="s">
        <v>297</v>
      </c>
      <c r="B624" s="68" t="s">
        <v>336</v>
      </c>
      <c r="C624" s="69" t="s">
        <v>64</v>
      </c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12" t="s">
        <v>297</v>
      </c>
      <c r="B625" s="68" t="s">
        <v>336</v>
      </c>
      <c r="C625" s="69" t="s">
        <v>66</v>
      </c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12" t="s">
        <v>297</v>
      </c>
      <c r="B626" s="68" t="s">
        <v>337</v>
      </c>
      <c r="C626" s="69" t="s">
        <v>54</v>
      </c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12" t="s">
        <v>297</v>
      </c>
      <c r="B627" s="68" t="s">
        <v>337</v>
      </c>
      <c r="C627" s="69" t="s">
        <v>64</v>
      </c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12" t="s">
        <v>297</v>
      </c>
      <c r="B628" s="68" t="s">
        <v>337</v>
      </c>
      <c r="C628" s="69" t="s">
        <v>66</v>
      </c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53" t="s">
        <v>338</v>
      </c>
      <c r="B629" s="54" t="s">
        <v>339</v>
      </c>
      <c r="C629" s="53" t="s">
        <v>58</v>
      </c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53" t="s">
        <v>338</v>
      </c>
      <c r="B630" s="54" t="s">
        <v>339</v>
      </c>
      <c r="C630" s="53" t="s">
        <v>60</v>
      </c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53" t="s">
        <v>338</v>
      </c>
      <c r="B631" s="54" t="s">
        <v>339</v>
      </c>
      <c r="C631" s="53" t="s">
        <v>64</v>
      </c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53" t="s">
        <v>338</v>
      </c>
      <c r="B632" s="54" t="s">
        <v>340</v>
      </c>
      <c r="C632" s="53" t="s">
        <v>58</v>
      </c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53" t="s">
        <v>338</v>
      </c>
      <c r="B633" s="54" t="s">
        <v>340</v>
      </c>
      <c r="C633" s="53" t="s">
        <v>60</v>
      </c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53" t="s">
        <v>338</v>
      </c>
      <c r="B634" s="54" t="s">
        <v>340</v>
      </c>
      <c r="C634" s="53" t="s">
        <v>64</v>
      </c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53" t="s">
        <v>338</v>
      </c>
      <c r="B635" s="54" t="s">
        <v>341</v>
      </c>
      <c r="C635" s="53" t="s">
        <v>58</v>
      </c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53" t="s">
        <v>338</v>
      </c>
      <c r="B636" s="54" t="s">
        <v>341</v>
      </c>
      <c r="C636" s="53" t="s">
        <v>60</v>
      </c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53" t="s">
        <v>338</v>
      </c>
      <c r="B637" s="54" t="s">
        <v>341</v>
      </c>
      <c r="C637" s="53" t="s">
        <v>64</v>
      </c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53" t="s">
        <v>338</v>
      </c>
      <c r="B638" s="54" t="s">
        <v>342</v>
      </c>
      <c r="C638" s="53" t="s">
        <v>58</v>
      </c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53" t="s">
        <v>338</v>
      </c>
      <c r="B639" s="54" t="s">
        <v>342</v>
      </c>
      <c r="C639" s="53" t="s">
        <v>60</v>
      </c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53" t="s">
        <v>338</v>
      </c>
      <c r="B640" s="54" t="s">
        <v>342</v>
      </c>
      <c r="C640" s="53" t="s">
        <v>64</v>
      </c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53" t="s">
        <v>338</v>
      </c>
      <c r="B641" s="54" t="s">
        <v>343</v>
      </c>
      <c r="C641" s="53" t="s">
        <v>58</v>
      </c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53" t="s">
        <v>338</v>
      </c>
      <c r="B642" s="54" t="s">
        <v>343</v>
      </c>
      <c r="C642" s="53" t="s">
        <v>60</v>
      </c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53" t="s">
        <v>338</v>
      </c>
      <c r="B643" s="54" t="s">
        <v>343</v>
      </c>
      <c r="C643" s="53" t="s">
        <v>64</v>
      </c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53" t="s">
        <v>338</v>
      </c>
      <c r="B644" s="54" t="s">
        <v>344</v>
      </c>
      <c r="C644" s="53" t="s">
        <v>58</v>
      </c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53" t="s">
        <v>338</v>
      </c>
      <c r="B645" s="54" t="s">
        <v>344</v>
      </c>
      <c r="C645" s="53" t="s">
        <v>60</v>
      </c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53" t="s">
        <v>338</v>
      </c>
      <c r="B646" s="54" t="s">
        <v>344</v>
      </c>
      <c r="C646" s="53" t="s">
        <v>64</v>
      </c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53" t="s">
        <v>338</v>
      </c>
      <c r="B647" s="54" t="s">
        <v>345</v>
      </c>
      <c r="C647" s="53" t="s">
        <v>58</v>
      </c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53" t="s">
        <v>338</v>
      </c>
      <c r="B648" s="54" t="s">
        <v>345</v>
      </c>
      <c r="C648" s="53" t="s">
        <v>60</v>
      </c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53" t="s">
        <v>338</v>
      </c>
      <c r="B649" s="54" t="s">
        <v>345</v>
      </c>
      <c r="C649" s="53" t="s">
        <v>64</v>
      </c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53" t="s">
        <v>338</v>
      </c>
      <c r="B650" s="54" t="s">
        <v>346</v>
      </c>
      <c r="C650" s="53" t="s">
        <v>58</v>
      </c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53" t="s">
        <v>338</v>
      </c>
      <c r="B651" s="54" t="s">
        <v>346</v>
      </c>
      <c r="C651" s="53" t="s">
        <v>60</v>
      </c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53" t="s">
        <v>338</v>
      </c>
      <c r="B652" s="54" t="s">
        <v>346</v>
      </c>
      <c r="C652" s="53" t="s">
        <v>64</v>
      </c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53" t="s">
        <v>338</v>
      </c>
      <c r="B653" s="54" t="s">
        <v>347</v>
      </c>
      <c r="C653" s="53" t="s">
        <v>58</v>
      </c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53" t="s">
        <v>338</v>
      </c>
      <c r="B654" s="54" t="s">
        <v>347</v>
      </c>
      <c r="C654" s="53" t="s">
        <v>60</v>
      </c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53" t="s">
        <v>338</v>
      </c>
      <c r="B655" s="54" t="s">
        <v>347</v>
      </c>
      <c r="C655" s="53" t="s">
        <v>64</v>
      </c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53" t="s">
        <v>338</v>
      </c>
      <c r="B656" s="54" t="s">
        <v>348</v>
      </c>
      <c r="C656" s="53" t="s">
        <v>58</v>
      </c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53" t="s">
        <v>338</v>
      </c>
      <c r="B657" s="54" t="s">
        <v>348</v>
      </c>
      <c r="C657" s="53" t="s">
        <v>60</v>
      </c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53" t="s">
        <v>338</v>
      </c>
      <c r="B658" s="54" t="s">
        <v>348</v>
      </c>
      <c r="C658" s="53" t="s">
        <v>64</v>
      </c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53" t="s">
        <v>338</v>
      </c>
      <c r="B659" s="54" t="s">
        <v>349</v>
      </c>
      <c r="C659" s="53" t="s">
        <v>58</v>
      </c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53" t="s">
        <v>338</v>
      </c>
      <c r="B660" s="54" t="s">
        <v>349</v>
      </c>
      <c r="C660" s="53" t="s">
        <v>60</v>
      </c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53" t="s">
        <v>338</v>
      </c>
      <c r="B661" s="54" t="s">
        <v>349</v>
      </c>
      <c r="C661" s="53" t="s">
        <v>64</v>
      </c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53" t="s">
        <v>338</v>
      </c>
      <c r="B662" s="54" t="s">
        <v>350</v>
      </c>
      <c r="C662" s="53" t="s">
        <v>58</v>
      </c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53" t="s">
        <v>338</v>
      </c>
      <c r="B663" s="54" t="s">
        <v>350</v>
      </c>
      <c r="C663" s="53" t="s">
        <v>60</v>
      </c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53" t="s">
        <v>338</v>
      </c>
      <c r="B664" s="54" t="s">
        <v>350</v>
      </c>
      <c r="C664" s="53" t="s">
        <v>64</v>
      </c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53" t="s">
        <v>338</v>
      </c>
      <c r="B665" s="54" t="s">
        <v>351</v>
      </c>
      <c r="C665" s="53" t="s">
        <v>58</v>
      </c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53" t="s">
        <v>338</v>
      </c>
      <c r="B666" s="54" t="s">
        <v>351</v>
      </c>
      <c r="C666" s="53" t="s">
        <v>60</v>
      </c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53" t="s">
        <v>338</v>
      </c>
      <c r="B667" s="54" t="s">
        <v>351</v>
      </c>
      <c r="C667" s="53" t="s">
        <v>64</v>
      </c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53" t="s">
        <v>338</v>
      </c>
      <c r="B668" s="54" t="s">
        <v>352</v>
      </c>
      <c r="C668" s="53" t="s">
        <v>58</v>
      </c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53" t="s">
        <v>338</v>
      </c>
      <c r="B669" s="54" t="s">
        <v>352</v>
      </c>
      <c r="C669" s="53" t="s">
        <v>60</v>
      </c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53" t="s">
        <v>338</v>
      </c>
      <c r="B670" s="54" t="s">
        <v>352</v>
      </c>
      <c r="C670" s="53" t="s">
        <v>64</v>
      </c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53" t="s">
        <v>338</v>
      </c>
      <c r="B671" s="54" t="s">
        <v>353</v>
      </c>
      <c r="C671" s="53" t="s">
        <v>58</v>
      </c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53" t="s">
        <v>338</v>
      </c>
      <c r="B672" s="54" t="s">
        <v>353</v>
      </c>
      <c r="C672" s="53" t="s">
        <v>60</v>
      </c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53" t="s">
        <v>338</v>
      </c>
      <c r="B673" s="54" t="s">
        <v>353</v>
      </c>
      <c r="C673" s="53" t="s">
        <v>64</v>
      </c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53" t="s">
        <v>338</v>
      </c>
      <c r="B674" s="54" t="s">
        <v>354</v>
      </c>
      <c r="C674" s="53" t="s">
        <v>58</v>
      </c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53" t="s">
        <v>338</v>
      </c>
      <c r="B675" s="54" t="s">
        <v>354</v>
      </c>
      <c r="C675" s="53" t="s">
        <v>60</v>
      </c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53" t="s">
        <v>338</v>
      </c>
      <c r="B676" s="54" t="s">
        <v>354</v>
      </c>
      <c r="C676" s="53" t="s">
        <v>64</v>
      </c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53" t="s">
        <v>338</v>
      </c>
      <c r="B677" s="54" t="s">
        <v>355</v>
      </c>
      <c r="C677" s="53" t="s">
        <v>58</v>
      </c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53" t="s">
        <v>338</v>
      </c>
      <c r="B678" s="54" t="s">
        <v>355</v>
      </c>
      <c r="C678" s="53" t="s">
        <v>60</v>
      </c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53" t="s">
        <v>338</v>
      </c>
      <c r="B679" s="54" t="s">
        <v>355</v>
      </c>
      <c r="C679" s="53" t="s">
        <v>64</v>
      </c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53" t="s">
        <v>338</v>
      </c>
      <c r="B680" s="54" t="s">
        <v>356</v>
      </c>
      <c r="C680" s="53" t="s">
        <v>58</v>
      </c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53" t="s">
        <v>338</v>
      </c>
      <c r="B681" s="54" t="s">
        <v>356</v>
      </c>
      <c r="C681" s="53" t="s">
        <v>60</v>
      </c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53" t="s">
        <v>338</v>
      </c>
      <c r="B682" s="54" t="s">
        <v>356</v>
      </c>
      <c r="C682" s="53" t="s">
        <v>64</v>
      </c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53" t="s">
        <v>338</v>
      </c>
      <c r="B683" s="54" t="s">
        <v>357</v>
      </c>
      <c r="C683" s="53" t="s">
        <v>58</v>
      </c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53" t="s">
        <v>338</v>
      </c>
      <c r="B684" s="54" t="s">
        <v>357</v>
      </c>
      <c r="C684" s="53" t="s">
        <v>60</v>
      </c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53" t="s">
        <v>338</v>
      </c>
      <c r="B685" s="54" t="s">
        <v>357</v>
      </c>
      <c r="C685" s="53" t="s">
        <v>64</v>
      </c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53" t="s">
        <v>338</v>
      </c>
      <c r="B686" s="54" t="s">
        <v>358</v>
      </c>
      <c r="C686" s="53" t="s">
        <v>58</v>
      </c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53" t="s">
        <v>338</v>
      </c>
      <c r="B687" s="54" t="s">
        <v>358</v>
      </c>
      <c r="C687" s="53" t="s">
        <v>60</v>
      </c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53" t="s">
        <v>338</v>
      </c>
      <c r="B688" s="54" t="s">
        <v>358</v>
      </c>
      <c r="C688" s="53" t="s">
        <v>64</v>
      </c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53" t="s">
        <v>338</v>
      </c>
      <c r="B689" s="54" t="s">
        <v>359</v>
      </c>
      <c r="C689" s="53" t="s">
        <v>58</v>
      </c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53" t="s">
        <v>338</v>
      </c>
      <c r="B690" s="54" t="s">
        <v>359</v>
      </c>
      <c r="C690" s="53" t="s">
        <v>60</v>
      </c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53" t="s">
        <v>338</v>
      </c>
      <c r="B691" s="54" t="s">
        <v>359</v>
      </c>
      <c r="C691" s="53" t="s">
        <v>64</v>
      </c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53" t="s">
        <v>338</v>
      </c>
      <c r="B692" s="54" t="s">
        <v>360</v>
      </c>
      <c r="C692" s="53" t="s">
        <v>58</v>
      </c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53" t="s">
        <v>338</v>
      </c>
      <c r="B693" s="54" t="s">
        <v>360</v>
      </c>
      <c r="C693" s="53" t="s">
        <v>60</v>
      </c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53" t="s">
        <v>338</v>
      </c>
      <c r="B694" s="54" t="s">
        <v>360</v>
      </c>
      <c r="C694" s="53" t="s">
        <v>64</v>
      </c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53" t="s">
        <v>338</v>
      </c>
      <c r="B695" s="54" t="s">
        <v>361</v>
      </c>
      <c r="C695" s="53" t="s">
        <v>58</v>
      </c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53" t="s">
        <v>338</v>
      </c>
      <c r="B696" s="54" t="s">
        <v>361</v>
      </c>
      <c r="C696" s="53" t="s">
        <v>60</v>
      </c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53" t="s">
        <v>338</v>
      </c>
      <c r="B697" s="54" t="s">
        <v>361</v>
      </c>
      <c r="C697" s="53" t="s">
        <v>64</v>
      </c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61" t="s">
        <v>362</v>
      </c>
      <c r="B698" s="65" t="s">
        <v>363</v>
      </c>
      <c r="C698" s="61" t="s">
        <v>37</v>
      </c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61" t="s">
        <v>362</v>
      </c>
      <c r="B699" s="65" t="s">
        <v>363</v>
      </c>
      <c r="C699" s="61" t="s">
        <v>52</v>
      </c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61" t="s">
        <v>362</v>
      </c>
      <c r="B700" s="65" t="s">
        <v>364</v>
      </c>
      <c r="C700" s="61" t="s">
        <v>37</v>
      </c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61" t="s">
        <v>362</v>
      </c>
      <c r="B701" s="65" t="s">
        <v>364</v>
      </c>
      <c r="C701" s="61" t="s">
        <v>52</v>
      </c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61" t="s">
        <v>362</v>
      </c>
      <c r="B702" s="65" t="s">
        <v>365</v>
      </c>
      <c r="C702" s="61" t="s">
        <v>37</v>
      </c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61" t="s">
        <v>362</v>
      </c>
      <c r="B703" s="65" t="s">
        <v>365</v>
      </c>
      <c r="C703" s="61" t="s">
        <v>52</v>
      </c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61" t="s">
        <v>362</v>
      </c>
      <c r="B704" s="65" t="s">
        <v>366</v>
      </c>
      <c r="C704" s="61" t="s">
        <v>37</v>
      </c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61" t="s">
        <v>362</v>
      </c>
      <c r="B705" s="65" t="s">
        <v>366</v>
      </c>
      <c r="C705" s="61" t="s">
        <v>52</v>
      </c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61" t="s">
        <v>362</v>
      </c>
      <c r="B706" s="65" t="s">
        <v>367</v>
      </c>
      <c r="C706" s="61" t="s">
        <v>37</v>
      </c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61" t="s">
        <v>362</v>
      </c>
      <c r="B707" s="65" t="s">
        <v>367</v>
      </c>
      <c r="C707" s="61" t="s">
        <v>52</v>
      </c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61" t="s">
        <v>362</v>
      </c>
      <c r="B708" s="65" t="s">
        <v>368</v>
      </c>
      <c r="C708" s="61" t="s">
        <v>37</v>
      </c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61" t="s">
        <v>362</v>
      </c>
      <c r="B709" s="65" t="s">
        <v>368</v>
      </c>
      <c r="C709" s="61" t="s">
        <v>52</v>
      </c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61" t="s">
        <v>362</v>
      </c>
      <c r="B710" s="65" t="s">
        <v>369</v>
      </c>
      <c r="C710" s="61" t="s">
        <v>37</v>
      </c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61" t="s">
        <v>362</v>
      </c>
      <c r="B711" s="65" t="s">
        <v>369</v>
      </c>
      <c r="C711" s="61" t="s">
        <v>52</v>
      </c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61" t="s">
        <v>362</v>
      </c>
      <c r="B712" s="65" t="s">
        <v>370</v>
      </c>
      <c r="C712" s="61" t="s">
        <v>37</v>
      </c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61" t="s">
        <v>362</v>
      </c>
      <c r="B713" s="65" t="s">
        <v>370</v>
      </c>
      <c r="C713" s="61" t="s">
        <v>52</v>
      </c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61" t="s">
        <v>362</v>
      </c>
      <c r="B714" s="65" t="s">
        <v>371</v>
      </c>
      <c r="C714" s="61" t="s">
        <v>37</v>
      </c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61" t="s">
        <v>362</v>
      </c>
      <c r="B715" s="65" t="s">
        <v>371</v>
      </c>
      <c r="C715" s="61" t="s">
        <v>52</v>
      </c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61" t="s">
        <v>362</v>
      </c>
      <c r="B716" s="65" t="s">
        <v>372</v>
      </c>
      <c r="C716" s="61" t="s">
        <v>37</v>
      </c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61" t="s">
        <v>362</v>
      </c>
      <c r="B717" s="65" t="s">
        <v>372</v>
      </c>
      <c r="C717" s="61" t="s">
        <v>52</v>
      </c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61" t="s">
        <v>362</v>
      </c>
      <c r="B718" s="65" t="s">
        <v>373</v>
      </c>
      <c r="C718" s="61" t="s">
        <v>37</v>
      </c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61" t="s">
        <v>362</v>
      </c>
      <c r="B719" s="65" t="s">
        <v>373</v>
      </c>
      <c r="C719" s="61" t="s">
        <v>52</v>
      </c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61" t="s">
        <v>362</v>
      </c>
      <c r="B720" s="65" t="s">
        <v>374</v>
      </c>
      <c r="C720" s="61" t="s">
        <v>37</v>
      </c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61" t="s">
        <v>362</v>
      </c>
      <c r="B721" s="65" t="s">
        <v>374</v>
      </c>
      <c r="C721" s="61" t="s">
        <v>52</v>
      </c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61" t="s">
        <v>362</v>
      </c>
      <c r="B722" s="65" t="s">
        <v>375</v>
      </c>
      <c r="C722" s="61" t="s">
        <v>37</v>
      </c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61" t="s">
        <v>362</v>
      </c>
      <c r="B723" s="65" t="s">
        <v>375</v>
      </c>
      <c r="C723" s="61" t="s">
        <v>52</v>
      </c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9" t="s">
        <v>376</v>
      </c>
      <c r="B724" s="66" t="s">
        <v>289</v>
      </c>
      <c r="C724" s="9" t="s">
        <v>34</v>
      </c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9" t="s">
        <v>376</v>
      </c>
      <c r="B725" s="66" t="s">
        <v>289</v>
      </c>
      <c r="C725" s="9" t="s">
        <v>39</v>
      </c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9" t="s">
        <v>376</v>
      </c>
      <c r="B726" s="66" t="s">
        <v>289</v>
      </c>
      <c r="C726" s="9" t="s">
        <v>264</v>
      </c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9" t="s">
        <v>376</v>
      </c>
      <c r="B727" s="66" t="s">
        <v>290</v>
      </c>
      <c r="C727" s="9" t="s">
        <v>34</v>
      </c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9" t="s">
        <v>376</v>
      </c>
      <c r="B728" s="66" t="s">
        <v>290</v>
      </c>
      <c r="C728" s="9" t="s">
        <v>39</v>
      </c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9" t="s">
        <v>376</v>
      </c>
      <c r="B729" s="66" t="s">
        <v>290</v>
      </c>
      <c r="C729" s="9" t="s">
        <v>69</v>
      </c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9" t="s">
        <v>376</v>
      </c>
      <c r="B730" s="66" t="s">
        <v>291</v>
      </c>
      <c r="C730" s="9" t="s">
        <v>34</v>
      </c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9" t="s">
        <v>376</v>
      </c>
      <c r="B731" s="66" t="s">
        <v>291</v>
      </c>
      <c r="C731" s="9" t="s">
        <v>39</v>
      </c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9" t="s">
        <v>376</v>
      </c>
      <c r="B732" s="66" t="s">
        <v>291</v>
      </c>
      <c r="C732" s="9" t="s">
        <v>264</v>
      </c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9" t="s">
        <v>376</v>
      </c>
      <c r="B733" s="66" t="s">
        <v>292</v>
      </c>
      <c r="C733" s="9" t="s">
        <v>34</v>
      </c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9" t="s">
        <v>376</v>
      </c>
      <c r="B734" s="66" t="s">
        <v>292</v>
      </c>
      <c r="C734" s="9" t="s">
        <v>39</v>
      </c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9" t="s">
        <v>376</v>
      </c>
      <c r="B735" s="66" t="s">
        <v>292</v>
      </c>
      <c r="C735" s="9" t="s">
        <v>264</v>
      </c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9" t="s">
        <v>376</v>
      </c>
      <c r="B736" s="66" t="s">
        <v>293</v>
      </c>
      <c r="C736" s="9" t="s">
        <v>34</v>
      </c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9" t="s">
        <v>376</v>
      </c>
      <c r="B737" s="66" t="s">
        <v>293</v>
      </c>
      <c r="C737" s="9" t="s">
        <v>39</v>
      </c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9" t="s">
        <v>376</v>
      </c>
      <c r="B738" s="66" t="s">
        <v>293</v>
      </c>
      <c r="C738" s="9" t="s">
        <v>264</v>
      </c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9" t="s">
        <v>376</v>
      </c>
      <c r="B739" s="66" t="s">
        <v>294</v>
      </c>
      <c r="C739" s="9" t="s">
        <v>34</v>
      </c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9" t="s">
        <v>376</v>
      </c>
      <c r="B740" s="66" t="s">
        <v>294</v>
      </c>
      <c r="C740" s="9" t="s">
        <v>39</v>
      </c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9" t="s">
        <v>376</v>
      </c>
      <c r="B741" s="66" t="s">
        <v>294</v>
      </c>
      <c r="C741" s="9" t="s">
        <v>264</v>
      </c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9" t="s">
        <v>376</v>
      </c>
      <c r="B742" s="66" t="s">
        <v>295</v>
      </c>
      <c r="C742" s="9" t="s">
        <v>34</v>
      </c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9" t="s">
        <v>376</v>
      </c>
      <c r="B743" s="66" t="s">
        <v>295</v>
      </c>
      <c r="C743" s="9" t="s">
        <v>39</v>
      </c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9" t="s">
        <v>376</v>
      </c>
      <c r="B744" s="66" t="s">
        <v>295</v>
      </c>
      <c r="C744" s="9" t="s">
        <v>264</v>
      </c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9" t="s">
        <v>376</v>
      </c>
      <c r="B745" s="66" t="s">
        <v>296</v>
      </c>
      <c r="C745" s="9" t="s">
        <v>34</v>
      </c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9" t="s">
        <v>376</v>
      </c>
      <c r="B746" s="66" t="s">
        <v>296</v>
      </c>
      <c r="C746" s="9" t="s">
        <v>39</v>
      </c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9" t="s">
        <v>376</v>
      </c>
      <c r="B747" s="66" t="s">
        <v>296</v>
      </c>
      <c r="C747" s="9" t="s">
        <v>264</v>
      </c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4" t="s">
        <v>377</v>
      </c>
      <c r="B748" s="45" t="s">
        <v>378</v>
      </c>
      <c r="C748" s="44" t="s">
        <v>58</v>
      </c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4" t="s">
        <v>377</v>
      </c>
      <c r="B749" s="45" t="s">
        <v>378</v>
      </c>
      <c r="C749" s="44" t="s">
        <v>60</v>
      </c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4" t="s">
        <v>377</v>
      </c>
      <c r="B750" s="45" t="s">
        <v>378</v>
      </c>
      <c r="C750" s="44" t="s">
        <v>64</v>
      </c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4" t="s">
        <v>377</v>
      </c>
      <c r="B751" s="45" t="s">
        <v>379</v>
      </c>
      <c r="C751" s="44" t="s">
        <v>58</v>
      </c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4" t="s">
        <v>377</v>
      </c>
      <c r="B752" s="45" t="s">
        <v>379</v>
      </c>
      <c r="C752" s="44" t="s">
        <v>60</v>
      </c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4" t="s">
        <v>377</v>
      </c>
      <c r="B753" s="45" t="s">
        <v>379</v>
      </c>
      <c r="C753" s="44" t="s">
        <v>64</v>
      </c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4" t="s">
        <v>377</v>
      </c>
      <c r="B754" s="45" t="s">
        <v>380</v>
      </c>
      <c r="C754" s="44" t="s">
        <v>58</v>
      </c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4" t="s">
        <v>377</v>
      </c>
      <c r="B755" s="45" t="s">
        <v>380</v>
      </c>
      <c r="C755" s="44" t="s">
        <v>60</v>
      </c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4" t="s">
        <v>377</v>
      </c>
      <c r="B756" s="45" t="s">
        <v>380</v>
      </c>
      <c r="C756" s="44" t="s">
        <v>64</v>
      </c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4" t="s">
        <v>377</v>
      </c>
      <c r="B757" s="45" t="s">
        <v>381</v>
      </c>
      <c r="C757" s="44" t="s">
        <v>58</v>
      </c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4" t="s">
        <v>377</v>
      </c>
      <c r="B758" s="45" t="s">
        <v>381</v>
      </c>
      <c r="C758" s="44" t="s">
        <v>60</v>
      </c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4" t="s">
        <v>377</v>
      </c>
      <c r="B759" s="45" t="s">
        <v>381</v>
      </c>
      <c r="C759" s="44" t="s">
        <v>64</v>
      </c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4" t="s">
        <v>377</v>
      </c>
      <c r="B760" s="45" t="s">
        <v>382</v>
      </c>
      <c r="C760" s="44" t="s">
        <v>58</v>
      </c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4" t="s">
        <v>377</v>
      </c>
      <c r="B761" s="45" t="s">
        <v>382</v>
      </c>
      <c r="C761" s="44" t="s">
        <v>60</v>
      </c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4" t="s">
        <v>377</v>
      </c>
      <c r="B762" s="45" t="s">
        <v>382</v>
      </c>
      <c r="C762" s="44" t="s">
        <v>64</v>
      </c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4" t="s">
        <v>377</v>
      </c>
      <c r="B763" s="45" t="s">
        <v>383</v>
      </c>
      <c r="C763" s="44" t="s">
        <v>58</v>
      </c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4" t="s">
        <v>377</v>
      </c>
      <c r="B764" s="45" t="s">
        <v>383</v>
      </c>
      <c r="C764" s="44" t="s">
        <v>60</v>
      </c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4" t="s">
        <v>377</v>
      </c>
      <c r="B765" s="45" t="s">
        <v>383</v>
      </c>
      <c r="C765" s="44" t="s">
        <v>64</v>
      </c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4" t="s">
        <v>377</v>
      </c>
      <c r="B766" s="45" t="s">
        <v>384</v>
      </c>
      <c r="C766" s="44" t="s">
        <v>58</v>
      </c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4" t="s">
        <v>377</v>
      </c>
      <c r="B767" s="45" t="s">
        <v>384</v>
      </c>
      <c r="C767" s="44" t="s">
        <v>60</v>
      </c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4" t="s">
        <v>377</v>
      </c>
      <c r="B768" s="45" t="s">
        <v>384</v>
      </c>
      <c r="C768" s="44" t="s">
        <v>64</v>
      </c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4" t="s">
        <v>377</v>
      </c>
      <c r="B769" s="45" t="s">
        <v>385</v>
      </c>
      <c r="C769" s="44" t="s">
        <v>58</v>
      </c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4" t="s">
        <v>377</v>
      </c>
      <c r="B770" s="45" t="s">
        <v>385</v>
      </c>
      <c r="C770" s="44" t="s">
        <v>60</v>
      </c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4" t="s">
        <v>377</v>
      </c>
      <c r="B771" s="45" t="s">
        <v>385</v>
      </c>
      <c r="C771" s="44" t="s">
        <v>64</v>
      </c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4" t="s">
        <v>377</v>
      </c>
      <c r="B772" s="45" t="s">
        <v>386</v>
      </c>
      <c r="C772" s="44" t="s">
        <v>58</v>
      </c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4" t="s">
        <v>377</v>
      </c>
      <c r="B773" s="45" t="s">
        <v>386</v>
      </c>
      <c r="C773" s="44" t="s">
        <v>60</v>
      </c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4" t="s">
        <v>377</v>
      </c>
      <c r="B774" s="45" t="s">
        <v>386</v>
      </c>
      <c r="C774" s="44" t="s">
        <v>64</v>
      </c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4" t="s">
        <v>377</v>
      </c>
      <c r="B775" s="45" t="s">
        <v>387</v>
      </c>
      <c r="C775" s="44" t="s">
        <v>58</v>
      </c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4" t="s">
        <v>377</v>
      </c>
      <c r="B776" s="45" t="s">
        <v>387</v>
      </c>
      <c r="C776" s="44" t="s">
        <v>60</v>
      </c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4" t="s">
        <v>377</v>
      </c>
      <c r="B777" s="45" t="s">
        <v>387</v>
      </c>
      <c r="C777" s="44" t="s">
        <v>64</v>
      </c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4" t="s">
        <v>377</v>
      </c>
      <c r="B778" s="45" t="s">
        <v>388</v>
      </c>
      <c r="C778" s="44" t="s">
        <v>58</v>
      </c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4" t="s">
        <v>377</v>
      </c>
      <c r="B779" s="45" t="s">
        <v>388</v>
      </c>
      <c r="C779" s="44" t="s">
        <v>60</v>
      </c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4" t="s">
        <v>377</v>
      </c>
      <c r="B780" s="45" t="s">
        <v>388</v>
      </c>
      <c r="C780" s="44" t="s">
        <v>64</v>
      </c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4" t="s">
        <v>377</v>
      </c>
      <c r="B781" s="45" t="s">
        <v>389</v>
      </c>
      <c r="C781" s="44" t="s">
        <v>58</v>
      </c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4" t="s">
        <v>377</v>
      </c>
      <c r="B782" s="45" t="s">
        <v>389</v>
      </c>
      <c r="C782" s="44" t="s">
        <v>60</v>
      </c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4" t="s">
        <v>377</v>
      </c>
      <c r="B783" s="45" t="s">
        <v>389</v>
      </c>
      <c r="C783" s="44" t="s">
        <v>64</v>
      </c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4" t="s">
        <v>377</v>
      </c>
      <c r="B784" s="45" t="s">
        <v>390</v>
      </c>
      <c r="C784" s="44" t="s">
        <v>58</v>
      </c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4" t="s">
        <v>377</v>
      </c>
      <c r="B785" s="45" t="s">
        <v>390</v>
      </c>
      <c r="C785" s="44" t="s">
        <v>60</v>
      </c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4" t="s">
        <v>377</v>
      </c>
      <c r="B786" s="45" t="s">
        <v>390</v>
      </c>
      <c r="C786" s="44" t="s">
        <v>64</v>
      </c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4" t="s">
        <v>377</v>
      </c>
      <c r="B787" s="45" t="s">
        <v>391</v>
      </c>
      <c r="C787" s="44" t="s">
        <v>58</v>
      </c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4" t="s">
        <v>377</v>
      </c>
      <c r="B788" s="45" t="s">
        <v>391</v>
      </c>
      <c r="C788" s="44" t="s">
        <v>60</v>
      </c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4" t="s">
        <v>377</v>
      </c>
      <c r="B789" s="45" t="s">
        <v>391</v>
      </c>
      <c r="C789" s="44" t="s">
        <v>64</v>
      </c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4" t="s">
        <v>377</v>
      </c>
      <c r="B790" s="45" t="s">
        <v>392</v>
      </c>
      <c r="C790" s="44" t="s">
        <v>58</v>
      </c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4" t="s">
        <v>377</v>
      </c>
      <c r="B791" s="45" t="s">
        <v>392</v>
      </c>
      <c r="C791" s="44" t="s">
        <v>60</v>
      </c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4" t="s">
        <v>377</v>
      </c>
      <c r="B792" s="45" t="s">
        <v>392</v>
      </c>
      <c r="C792" s="44" t="s">
        <v>64</v>
      </c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4" t="s">
        <v>377</v>
      </c>
      <c r="B793" s="45" t="s">
        <v>393</v>
      </c>
      <c r="C793" s="44" t="s">
        <v>58</v>
      </c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4" t="s">
        <v>377</v>
      </c>
      <c r="B794" s="45" t="s">
        <v>393</v>
      </c>
      <c r="C794" s="44" t="s">
        <v>60</v>
      </c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4" t="s">
        <v>377</v>
      </c>
      <c r="B795" s="45" t="s">
        <v>393</v>
      </c>
      <c r="C795" s="44" t="s">
        <v>64</v>
      </c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4" t="s">
        <v>377</v>
      </c>
      <c r="B796" s="45" t="s">
        <v>394</v>
      </c>
      <c r="C796" s="44" t="s">
        <v>58</v>
      </c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4" t="s">
        <v>377</v>
      </c>
      <c r="B797" s="45" t="s">
        <v>394</v>
      </c>
      <c r="C797" s="44" t="s">
        <v>60</v>
      </c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4" t="s">
        <v>377</v>
      </c>
      <c r="B798" s="45" t="s">
        <v>394</v>
      </c>
      <c r="C798" s="44" t="s">
        <v>64</v>
      </c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4" t="s">
        <v>377</v>
      </c>
      <c r="B799" s="45" t="s">
        <v>395</v>
      </c>
      <c r="C799" s="44" t="s">
        <v>58</v>
      </c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4" t="s">
        <v>377</v>
      </c>
      <c r="B800" s="45" t="s">
        <v>395</v>
      </c>
      <c r="C800" s="44" t="s">
        <v>60</v>
      </c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4" t="s">
        <v>377</v>
      </c>
      <c r="B801" s="45" t="s">
        <v>395</v>
      </c>
      <c r="C801" s="44" t="s">
        <v>64</v>
      </c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4" t="s">
        <v>377</v>
      </c>
      <c r="B802" s="45" t="s">
        <v>396</v>
      </c>
      <c r="C802" s="44" t="s">
        <v>58</v>
      </c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4" t="s">
        <v>377</v>
      </c>
      <c r="B803" s="45" t="s">
        <v>396</v>
      </c>
      <c r="C803" s="44" t="s">
        <v>60</v>
      </c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4" t="s">
        <v>377</v>
      </c>
      <c r="B804" s="45" t="s">
        <v>396</v>
      </c>
      <c r="C804" s="44" t="s">
        <v>64</v>
      </c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4" t="s">
        <v>377</v>
      </c>
      <c r="B805" s="45" t="s">
        <v>397</v>
      </c>
      <c r="C805" s="44" t="s">
        <v>58</v>
      </c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4" t="s">
        <v>377</v>
      </c>
      <c r="B806" s="45" t="s">
        <v>397</v>
      </c>
      <c r="C806" s="44" t="s">
        <v>60</v>
      </c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4" t="s">
        <v>377</v>
      </c>
      <c r="B807" s="45" t="s">
        <v>397</v>
      </c>
      <c r="C807" s="44" t="s">
        <v>64</v>
      </c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4" t="s">
        <v>377</v>
      </c>
      <c r="B808" s="45" t="s">
        <v>398</v>
      </c>
      <c r="C808" s="44" t="s">
        <v>58</v>
      </c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4" t="s">
        <v>377</v>
      </c>
      <c r="B809" s="45" t="s">
        <v>398</v>
      </c>
      <c r="C809" s="44" t="s">
        <v>60</v>
      </c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4" t="s">
        <v>377</v>
      </c>
      <c r="B810" s="45" t="s">
        <v>398</v>
      </c>
      <c r="C810" s="44" t="s">
        <v>64</v>
      </c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4" t="s">
        <v>377</v>
      </c>
      <c r="B811" s="45" t="s">
        <v>399</v>
      </c>
      <c r="C811" s="44" t="s">
        <v>58</v>
      </c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4" t="s">
        <v>377</v>
      </c>
      <c r="B812" s="45" t="s">
        <v>399</v>
      </c>
      <c r="C812" s="44" t="s">
        <v>60</v>
      </c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4" t="s">
        <v>377</v>
      </c>
      <c r="B813" s="45" t="s">
        <v>399</v>
      </c>
      <c r="C813" s="44" t="s">
        <v>64</v>
      </c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4" t="s">
        <v>377</v>
      </c>
      <c r="B814" s="45" t="s">
        <v>400</v>
      </c>
      <c r="C814" s="44" t="s">
        <v>58</v>
      </c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4" t="s">
        <v>377</v>
      </c>
      <c r="B815" s="45" t="s">
        <v>400</v>
      </c>
      <c r="C815" s="44" t="s">
        <v>60</v>
      </c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4" t="s">
        <v>377</v>
      </c>
      <c r="B816" s="45" t="s">
        <v>400</v>
      </c>
      <c r="C816" s="44" t="s">
        <v>64</v>
      </c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4" t="s">
        <v>377</v>
      </c>
      <c r="B817" s="45" t="s">
        <v>401</v>
      </c>
      <c r="C817" s="44" t="s">
        <v>58</v>
      </c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4" t="s">
        <v>377</v>
      </c>
      <c r="B818" s="45" t="s">
        <v>401</v>
      </c>
      <c r="C818" s="44" t="s">
        <v>60</v>
      </c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4" t="s">
        <v>377</v>
      </c>
      <c r="B819" s="45" t="s">
        <v>401</v>
      </c>
      <c r="C819" s="44" t="s">
        <v>64</v>
      </c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70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70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70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70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70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70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70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70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70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70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70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70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70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70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70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70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70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70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70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70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70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70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70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70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70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70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70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70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70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70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70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70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70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70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70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70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70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70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70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70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70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70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70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70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70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70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70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70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70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70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70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70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70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70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70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70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70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70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70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70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70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70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70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70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70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70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70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70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70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70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70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70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70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70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70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70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70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70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70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70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70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70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70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70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70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70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70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70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70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70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70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70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70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70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70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70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70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70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70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70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70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70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70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70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70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70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70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70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70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70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70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70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70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70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70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70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70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70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70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70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70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70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70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70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70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70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70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70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70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70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70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70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70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70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70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70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70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70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70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70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70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70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70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70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70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70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70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70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70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70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70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70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70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70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70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70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70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70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70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70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70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70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70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70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70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70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70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70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70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70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70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70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70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70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70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70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70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70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70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70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70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43"/>
      <c r="B1001" s="70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>
      <c r="A1002" s="43"/>
      <c r="B1002" s="70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>
      <c r="A1003" s="43"/>
      <c r="B1003" s="70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>
      <c r="A1004" s="43"/>
      <c r="B1004" s="70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>
      <c r="A1005" s="43"/>
      <c r="B1005" s="70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>
      <c r="A1006" s="43"/>
      <c r="B1006" s="70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>
      <c r="A1007" s="43"/>
      <c r="B1007" s="70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>
      <c r="A1008" s="43"/>
      <c r="B1008" s="70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>
      <c r="A1009" s="43"/>
      <c r="B1009" s="70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>
      <c r="A1010" s="43"/>
      <c r="B1010" s="70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>
      <c r="A1011" s="43"/>
      <c r="B1011" s="70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>
      <c r="A1012" s="43"/>
      <c r="B1012" s="70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>
      <c r="A1013" s="43"/>
      <c r="B1013" s="70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>
      <c r="A1014" s="43"/>
      <c r="B1014" s="70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>
      <c r="A1015" s="43"/>
      <c r="B1015" s="70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>
      <c r="A1016" s="43"/>
      <c r="B1016" s="70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>
      <c r="A1017" s="43"/>
      <c r="B1017" s="70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>
      <c r="A1018" s="43"/>
      <c r="B1018" s="70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>
      <c r="A1019" s="43"/>
      <c r="B1019" s="70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>
      <c r="A1020" s="43"/>
      <c r="B1020" s="70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>
      <c r="A1021" s="43"/>
      <c r="B1021" s="70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>
      <c r="A1022" s="43"/>
      <c r="B1022" s="70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>
      <c r="A1023" s="43"/>
      <c r="B1023" s="70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>
      <c r="A1024" s="43"/>
      <c r="B1024" s="70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>
      <c r="A1025" s="43"/>
      <c r="B1025" s="70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>
      <c r="A1026" s="43"/>
      <c r="B1026" s="70"/>
      <c r="C1026" s="43"/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>
      <c r="A1027" s="43"/>
      <c r="B1027" s="70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>
      <c r="A1028" s="43"/>
      <c r="B1028" s="70"/>
      <c r="C1028" s="43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>
      <c r="A1029" s="43"/>
      <c r="B1029" s="70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>
      <c r="A1030" s="43"/>
      <c r="B1030" s="70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>
      <c r="A1031" s="43"/>
      <c r="B1031" s="70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>
      <c r="A1032" s="43"/>
      <c r="B1032" s="70"/>
      <c r="C1032" s="43"/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>
      <c r="A1033" s="43"/>
      <c r="B1033" s="70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>
      <c r="A1034" s="43"/>
      <c r="B1034" s="70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>
      <c r="A1035" s="43"/>
      <c r="B1035" s="70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>
      <c r="A1036" s="43"/>
      <c r="B1036" s="70"/>
      <c r="C1036" s="43"/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>
      <c r="A1037" s="43"/>
      <c r="B1037" s="70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>
      <c r="A1038" s="43"/>
      <c r="B1038" s="70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>
      <c r="A1039" s="43"/>
      <c r="B1039" s="70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>
      <c r="A1040" s="43"/>
      <c r="B1040" s="70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>
      <c r="A1041" s="43"/>
      <c r="B1041" s="70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>
      <c r="A1042" s="43"/>
      <c r="B1042" s="70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>
      <c r="A1043" s="43"/>
      <c r="B1043" s="70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>
      <c r="A1044" s="43"/>
      <c r="B1044" s="70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>
      <c r="A1045" s="43"/>
      <c r="B1045" s="70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>
      <c r="A1046" s="43"/>
      <c r="B1046" s="70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>
      <c r="A1047" s="43"/>
      <c r="B1047" s="70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>
      <c r="A1048" s="43"/>
      <c r="B1048" s="70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>
      <c r="A1049" s="43"/>
      <c r="B1049" s="70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>
      <c r="A1050" s="43"/>
      <c r="B1050" s="70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>
      <c r="A1051" s="43"/>
      <c r="B1051" s="70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>
      <c r="A1052" s="43"/>
      <c r="B1052" s="70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>
      <c r="A1053" s="43"/>
      <c r="B1053" s="70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>
      <c r="A1054" s="43"/>
      <c r="B1054" s="70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>
      <c r="A1055" s="43"/>
      <c r="B1055" s="70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>
      <c r="A1056" s="43"/>
      <c r="B1056" s="70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>
      <c r="A1057" s="43"/>
      <c r="B1057" s="70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>
      <c r="A1058" s="43"/>
      <c r="B1058" s="70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>
      <c r="A1059" s="43"/>
      <c r="B1059" s="70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>
      <c r="A1060" s="43"/>
      <c r="B1060" s="70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>
      <c r="A1061" s="43"/>
      <c r="B1061" s="70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>
      <c r="A1062" s="43"/>
      <c r="B1062" s="70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>
      <c r="A1063" s="43"/>
      <c r="B1063" s="70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>
      <c r="A1064" s="43"/>
      <c r="B1064" s="70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>
      <c r="A1065" s="43"/>
      <c r="B1065" s="70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>
      <c r="A1066" s="43"/>
      <c r="B1066" s="70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>
      <c r="A1067" s="43"/>
      <c r="B1067" s="70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</sheetData>
  <drawing r:id="rId1"/>
</worksheet>
</file>